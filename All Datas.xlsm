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sktop\Desktop\"/>
    </mc:Choice>
  </mc:AlternateContent>
  <xr:revisionPtr revIDLastSave="0" documentId="8_{CD60E586-F6B1-4B95-BB44-30FA45345A96}" xr6:coauthVersionLast="47" xr6:coauthVersionMax="47" xr10:uidLastSave="{00000000-0000-0000-0000-000000000000}"/>
  <bookViews>
    <workbookView xWindow="22932" yWindow="-108" windowWidth="23256" windowHeight="1245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1" l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3" i="1"/>
  <c r="H3" i="1" s="1"/>
  <c r="H4" i="1" s="1"/>
  <c r="H5" i="1" s="1"/>
  <c r="H6" i="1" s="1"/>
  <c r="H7" i="1" s="1"/>
  <c r="H8" i="1" s="1"/>
  <c r="G4" i="1"/>
  <c r="G5" i="1"/>
  <c r="G6" i="1"/>
  <c r="G7" i="1"/>
  <c r="G8" i="1"/>
  <c r="G2" i="1"/>
  <c r="L2" i="1"/>
  <c r="K3" i="1"/>
  <c r="K7" i="1"/>
  <c r="K8" i="1"/>
  <c r="K9" i="1"/>
  <c r="K10" i="1"/>
  <c r="K11" i="1"/>
  <c r="K12" i="1"/>
  <c r="K13" i="1"/>
  <c r="K15" i="1"/>
  <c r="K17" i="1"/>
  <c r="K18" i="1"/>
  <c r="K19" i="1"/>
  <c r="K23" i="1"/>
  <c r="K27" i="1"/>
  <c r="K28" i="1"/>
  <c r="K29" i="1"/>
  <c r="K30" i="1"/>
  <c r="K31" i="1"/>
  <c r="K32" i="1"/>
  <c r="K33" i="1"/>
  <c r="K34" i="1"/>
  <c r="K35" i="1"/>
  <c r="K36" i="1"/>
  <c r="K37" i="1"/>
  <c r="K38" i="1"/>
  <c r="K2" i="1"/>
  <c r="J7" i="1"/>
  <c r="J8" i="1"/>
  <c r="J9" i="1"/>
  <c r="J10" i="1"/>
  <c r="J11" i="1"/>
  <c r="J12" i="1"/>
  <c r="J13" i="1"/>
  <c r="J14" i="1"/>
  <c r="K14" i="1" s="1"/>
  <c r="J15" i="1"/>
  <c r="J16" i="1"/>
  <c r="K16" i="1" s="1"/>
  <c r="J17" i="1"/>
  <c r="J18" i="1"/>
  <c r="J19" i="1"/>
  <c r="J20" i="1"/>
  <c r="K20" i="1" s="1"/>
  <c r="J21" i="1"/>
  <c r="K21" i="1" s="1"/>
  <c r="J22" i="1"/>
  <c r="K22" i="1" s="1"/>
  <c r="J23" i="1"/>
  <c r="J24" i="1"/>
  <c r="K24" i="1" s="1"/>
  <c r="J25" i="1"/>
  <c r="K25" i="1" s="1"/>
  <c r="J26" i="1"/>
  <c r="K26" i="1" s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K39" i="1" s="1"/>
  <c r="J40" i="1"/>
  <c r="K40" i="1" s="1"/>
  <c r="J41" i="1"/>
  <c r="K41" i="1" s="1"/>
  <c r="J42" i="1"/>
  <c r="K42" i="1" s="1"/>
  <c r="J3" i="1"/>
  <c r="J4" i="1"/>
  <c r="K4" i="1" s="1"/>
  <c r="J5" i="1"/>
  <c r="K5" i="1" s="1"/>
  <c r="J6" i="1"/>
  <c r="K6" i="1" s="1"/>
  <c r="J2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H9" i="1" l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I3" i="1"/>
  <c r="I4" i="1" l="1"/>
  <c r="L3" i="1"/>
  <c r="I5" i="1" l="1"/>
  <c r="L4" i="1"/>
  <c r="I6" i="1" l="1"/>
  <c r="L5" i="1"/>
  <c r="I7" i="1" l="1"/>
  <c r="L6" i="1"/>
  <c r="I8" i="1" l="1"/>
  <c r="L7" i="1"/>
  <c r="I9" i="1" l="1"/>
  <c r="L8" i="1"/>
  <c r="I10" i="1" l="1"/>
  <c r="L9" i="1"/>
  <c r="I11" i="1" l="1"/>
  <c r="L10" i="1"/>
  <c r="I12" i="1" l="1"/>
  <c r="L11" i="1"/>
  <c r="I13" i="1" l="1"/>
  <c r="L12" i="1"/>
  <c r="I14" i="1" l="1"/>
  <c r="L13" i="1"/>
  <c r="I15" i="1" l="1"/>
  <c r="L14" i="1"/>
  <c r="I16" i="1" l="1"/>
  <c r="L15" i="1"/>
  <c r="I17" i="1" l="1"/>
  <c r="L16" i="1"/>
  <c r="I18" i="1" l="1"/>
  <c r="L17" i="1"/>
  <c r="I19" i="1" l="1"/>
  <c r="L18" i="1"/>
  <c r="I20" i="1" l="1"/>
  <c r="L19" i="1"/>
  <c r="I21" i="1" l="1"/>
  <c r="L20" i="1"/>
  <c r="I22" i="1" l="1"/>
  <c r="L21" i="1"/>
  <c r="I23" i="1" l="1"/>
  <c r="L22" i="1"/>
  <c r="I24" i="1" l="1"/>
  <c r="L23" i="1"/>
  <c r="I25" i="1" l="1"/>
  <c r="L24" i="1"/>
  <c r="I26" i="1" l="1"/>
  <c r="L25" i="1"/>
  <c r="I27" i="1" l="1"/>
  <c r="L26" i="1"/>
  <c r="I28" i="1" l="1"/>
  <c r="L27" i="1"/>
  <c r="I29" i="1" l="1"/>
  <c r="L28" i="1"/>
  <c r="I30" i="1" l="1"/>
  <c r="L29" i="1"/>
  <c r="I31" i="1" l="1"/>
  <c r="L30" i="1"/>
  <c r="I32" i="1" l="1"/>
  <c r="L31" i="1"/>
  <c r="I33" i="1" l="1"/>
  <c r="L32" i="1"/>
  <c r="I34" i="1" l="1"/>
  <c r="L33" i="1"/>
  <c r="I35" i="1" l="1"/>
  <c r="L34" i="1"/>
  <c r="I36" i="1" l="1"/>
  <c r="L35" i="1"/>
  <c r="I37" i="1" l="1"/>
  <c r="L36" i="1"/>
  <c r="I38" i="1" l="1"/>
  <c r="L37" i="1"/>
  <c r="I39" i="1" l="1"/>
  <c r="L38" i="1"/>
  <c r="I40" i="1" l="1"/>
  <c r="L39" i="1"/>
  <c r="I41" i="1" l="1"/>
  <c r="L40" i="1"/>
  <c r="I42" i="1" l="1"/>
  <c r="L41" i="1"/>
  <c r="L42" i="1" l="1"/>
</calcChain>
</file>

<file path=xl/sharedStrings.xml><?xml version="1.0" encoding="utf-8"?>
<sst xmlns="http://schemas.openxmlformats.org/spreadsheetml/2006/main" count="22" uniqueCount="17">
  <si>
    <t>Move this sheet to 1st tab position to accept data</t>
  </si>
  <si>
    <t>BilgisayarSaati</t>
  </si>
  <si>
    <t>ArduinoSuresi</t>
  </si>
  <si>
    <t>Encoder</t>
  </si>
  <si>
    <t>IvmeY</t>
  </si>
  <si>
    <t>Motor RPM</t>
  </si>
  <si>
    <t>Arduino Time</t>
  </si>
  <si>
    <t>Encoder Count</t>
  </si>
  <si>
    <t>Slider Acceleration</t>
  </si>
  <si>
    <t>Slider Velocity</t>
  </si>
  <si>
    <t>Filtered Time (s)</t>
  </si>
  <si>
    <t>Filtered Acceleration (m/s²)</t>
  </si>
  <si>
    <t>Theorical Velocity (m/s) [İntegral]</t>
  </si>
  <si>
    <t>Theorical position (m) [2. İntegral]</t>
  </si>
  <si>
    <t>Theorical Angle  (Radyan)</t>
  </si>
  <si>
    <t>Theorical Position</t>
  </si>
  <si>
    <t>Graphical Filtered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</si>
</sst>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  <charset val="162"/>
    </font>
    <font>
      <sz val="1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3" borderId="4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0" fillId="0" borderId="0" xfId="0" applyNumberFormat="1"/>
    <xf numFmtId="21" fontId="1" fillId="0" borderId="1" xfId="0" applyNumberFormat="1" applyFont="1" applyBorder="1" applyAlignment="1">
      <alignment horizontal="right"/>
    </xf>
    <xf numFmtId="21" fontId="1" fillId="0" borderId="0" xfId="0" applyNumberFormat="1" applyFont="1" applyAlignment="1">
      <alignment horizontal="right"/>
    </xf>
    <xf numFmtId="21" fontId="1" fillId="0" borderId="3" xfId="0" applyNumberFormat="1" applyFont="1" applyBorder="1" applyAlignment="1">
      <alignment horizontal="right"/>
    </xf>
    <xf numFmtId="21" fontId="1" fillId="0" borderId="5" xfId="0" applyNumberFormat="1" applyFont="1" applyBorder="1" applyAlignment="1">
      <alignment horizontal="right"/>
    </xf>
    <xf numFmtId="21" fontId="0" fillId="0" borderId="0" xfId="0" applyNumberForma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0" i="0" u="none" strike="noStrike" baseline="0"/>
              <a:t>Slider-Crank Mekanizması Konum Analizi: Teorik vs Deneysel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Teorik Konum Encoder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Data'!$F$2:$F$42</c:f>
              <c:numCache>
                <c:formatCode>General</c:formatCode>
                <c:ptCount val="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0.85099999999999998</c:v>
                </c:pt>
                <c:pt idx="18">
                  <c:v>0.90100000000000002</c:v>
                </c:pt>
                <c:pt idx="19">
                  <c:v>0.95099999999999996</c:v>
                </c:pt>
                <c:pt idx="20">
                  <c:v>1.0009999999999999</c:v>
                </c:pt>
                <c:pt idx="21">
                  <c:v>1.0509999999999999</c:v>
                </c:pt>
                <c:pt idx="22">
                  <c:v>1.101</c:v>
                </c:pt>
                <c:pt idx="23">
                  <c:v>1.151</c:v>
                </c:pt>
                <c:pt idx="24">
                  <c:v>1.2010000000000001</c:v>
                </c:pt>
                <c:pt idx="25">
                  <c:v>1.2509999999999999</c:v>
                </c:pt>
                <c:pt idx="26">
                  <c:v>1.3009999999999999</c:v>
                </c:pt>
                <c:pt idx="27">
                  <c:v>1.351</c:v>
                </c:pt>
                <c:pt idx="28">
                  <c:v>1.401</c:v>
                </c:pt>
                <c:pt idx="29">
                  <c:v>1.4510000000000001</c:v>
                </c:pt>
                <c:pt idx="30">
                  <c:v>1.5009999999999999</c:v>
                </c:pt>
                <c:pt idx="31">
                  <c:v>1.5509999999999999</c:v>
                </c:pt>
                <c:pt idx="32">
                  <c:v>1.601</c:v>
                </c:pt>
                <c:pt idx="33">
                  <c:v>1.651</c:v>
                </c:pt>
                <c:pt idx="34">
                  <c:v>1.7010000000000001</c:v>
                </c:pt>
                <c:pt idx="35">
                  <c:v>1.7509999999999999</c:v>
                </c:pt>
                <c:pt idx="36">
                  <c:v>1.8009999999999999</c:v>
                </c:pt>
                <c:pt idx="37">
                  <c:v>1.851</c:v>
                </c:pt>
                <c:pt idx="38">
                  <c:v>1.901</c:v>
                </c:pt>
                <c:pt idx="39">
                  <c:v>1.9510000000000001</c:v>
                </c:pt>
                <c:pt idx="40">
                  <c:v>2.0009999999999999</c:v>
                </c:pt>
              </c:numCache>
            </c:numRef>
          </c:cat>
          <c:val>
            <c:numRef>
              <c:f>'Simple Data'!$K$2:$K$42</c:f>
              <c:numCache>
                <c:formatCode>General</c:formatCode>
                <c:ptCount val="41"/>
                <c:pt idx="0">
                  <c:v>0.13979628302537728</c:v>
                </c:pt>
                <c:pt idx="1">
                  <c:v>0.13979628302537728</c:v>
                </c:pt>
                <c:pt idx="2">
                  <c:v>0.1424991266405625</c:v>
                </c:pt>
                <c:pt idx="3">
                  <c:v>0.1424991266405625</c:v>
                </c:pt>
                <c:pt idx="4">
                  <c:v>0.1393524243353827</c:v>
                </c:pt>
                <c:pt idx="5">
                  <c:v>0.13139962606460809</c:v>
                </c:pt>
                <c:pt idx="6">
                  <c:v>0.12018284271088078</c:v>
                </c:pt>
                <c:pt idx="7">
                  <c:v>0.12018284271088078</c:v>
                </c:pt>
                <c:pt idx="8">
                  <c:v>0.10738303954802872</c:v>
                </c:pt>
                <c:pt idx="9">
                  <c:v>9.4472567185076309E-2</c:v>
                </c:pt>
                <c:pt idx="10">
                  <c:v>8.2495777640635787E-2</c:v>
                </c:pt>
                <c:pt idx="11">
                  <c:v>7.2042058066837139E-2</c:v>
                </c:pt>
                <c:pt idx="12">
                  <c:v>6.3371062403646983E-2</c:v>
                </c:pt>
                <c:pt idx="13">
                  <c:v>5.6596147643373694E-2</c:v>
                </c:pt>
                <c:pt idx="14">
                  <c:v>5.6596147643373694E-2</c:v>
                </c:pt>
                <c:pt idx="15">
                  <c:v>5.1862767548706605E-2</c:v>
                </c:pt>
                <c:pt idx="16">
                  <c:v>4.9515196476491045E-2</c:v>
                </c:pt>
                <c:pt idx="17">
                  <c:v>5.0259989736747168E-2</c:v>
                </c:pt>
                <c:pt idx="18">
                  <c:v>5.5227001360908551E-2</c:v>
                </c:pt>
                <c:pt idx="19">
                  <c:v>6.5519539609416325E-2</c:v>
                </c:pt>
                <c:pt idx="20">
                  <c:v>6.5519539609416325E-2</c:v>
                </c:pt>
                <c:pt idx="21">
                  <c:v>8.0937619085929141E-2</c:v>
                </c:pt>
                <c:pt idx="22">
                  <c:v>9.9164378146948715E-2</c:v>
                </c:pt>
                <c:pt idx="23">
                  <c:v>0.11682612419497543</c:v>
                </c:pt>
                <c:pt idx="24">
                  <c:v>0.13099128272134261</c:v>
                </c:pt>
                <c:pt idx="25">
                  <c:v>0.13979655378372596</c:v>
                </c:pt>
                <c:pt idx="26">
                  <c:v>0.14249911081663286</c:v>
                </c:pt>
                <c:pt idx="27">
                  <c:v>0.13935215417584049</c:v>
                </c:pt>
                <c:pt idx="28">
                  <c:v>0.13139916464318541</c:v>
                </c:pt>
                <c:pt idx="29">
                  <c:v>0.12018226832919848</c:v>
                </c:pt>
                <c:pt idx="30">
                  <c:v>0.12018226832919848</c:v>
                </c:pt>
                <c:pt idx="31">
                  <c:v>0.10738242832658039</c:v>
                </c:pt>
                <c:pt idx="32">
                  <c:v>9.4471978954010993E-2</c:v>
                </c:pt>
                <c:pt idx="33">
                  <c:v>8.2495250083400112E-2</c:v>
                </c:pt>
                <c:pt idx="34">
                  <c:v>7.2041609689782946E-2</c:v>
                </c:pt>
                <c:pt idx="35">
                  <c:v>7.2041609689782946E-2</c:v>
                </c:pt>
                <c:pt idx="36">
                  <c:v>6.3370700468837013E-2</c:v>
                </c:pt>
                <c:pt idx="37">
                  <c:v>5.6595876882688613E-2</c:v>
                </c:pt>
                <c:pt idx="38">
                  <c:v>5.186259811727293E-2</c:v>
                </c:pt>
                <c:pt idx="39">
                  <c:v>5.186259811727293E-2</c:v>
                </c:pt>
                <c:pt idx="40">
                  <c:v>4.951515174351305E-2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9-48C5-855E-A88C22534EF5}"/>
            </c:ext>
          </c:extLst>
        </c:ser>
        <c:ser>
          <c:idx val="1"/>
          <c:order val="1"/>
          <c:tx>
            <c:v>Ölçülen Konum Sensör MPU6050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Data'!$F$2:$F$42</c:f>
              <c:numCache>
                <c:formatCode>General</c:formatCode>
                <c:ptCount val="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0.85099999999999998</c:v>
                </c:pt>
                <c:pt idx="18">
                  <c:v>0.90100000000000002</c:v>
                </c:pt>
                <c:pt idx="19">
                  <c:v>0.95099999999999996</c:v>
                </c:pt>
                <c:pt idx="20">
                  <c:v>1.0009999999999999</c:v>
                </c:pt>
                <c:pt idx="21">
                  <c:v>1.0509999999999999</c:v>
                </c:pt>
                <c:pt idx="22">
                  <c:v>1.101</c:v>
                </c:pt>
                <c:pt idx="23">
                  <c:v>1.151</c:v>
                </c:pt>
                <c:pt idx="24">
                  <c:v>1.2010000000000001</c:v>
                </c:pt>
                <c:pt idx="25">
                  <c:v>1.2509999999999999</c:v>
                </c:pt>
                <c:pt idx="26">
                  <c:v>1.3009999999999999</c:v>
                </c:pt>
                <c:pt idx="27">
                  <c:v>1.351</c:v>
                </c:pt>
                <c:pt idx="28">
                  <c:v>1.401</c:v>
                </c:pt>
                <c:pt idx="29">
                  <c:v>1.4510000000000001</c:v>
                </c:pt>
                <c:pt idx="30">
                  <c:v>1.5009999999999999</c:v>
                </c:pt>
                <c:pt idx="31">
                  <c:v>1.5509999999999999</c:v>
                </c:pt>
                <c:pt idx="32">
                  <c:v>1.601</c:v>
                </c:pt>
                <c:pt idx="33">
                  <c:v>1.651</c:v>
                </c:pt>
                <c:pt idx="34">
                  <c:v>1.7010000000000001</c:v>
                </c:pt>
                <c:pt idx="35">
                  <c:v>1.7509999999999999</c:v>
                </c:pt>
                <c:pt idx="36">
                  <c:v>1.8009999999999999</c:v>
                </c:pt>
                <c:pt idx="37">
                  <c:v>1.851</c:v>
                </c:pt>
                <c:pt idx="38">
                  <c:v>1.901</c:v>
                </c:pt>
                <c:pt idx="39">
                  <c:v>1.9510000000000001</c:v>
                </c:pt>
                <c:pt idx="40">
                  <c:v>2.0009999999999999</c:v>
                </c:pt>
              </c:numCache>
            </c:numRef>
          </c:cat>
          <c:val>
            <c:numRef>
              <c:f>'Simple Data'!$L$2:$L$42</c:f>
              <c:numCache>
                <c:formatCode>General</c:formatCode>
                <c:ptCount val="41"/>
                <c:pt idx="0">
                  <c:v>0.14099999999999999</c:v>
                </c:pt>
                <c:pt idx="1">
                  <c:v>0.14482499999999998</c:v>
                </c:pt>
                <c:pt idx="2">
                  <c:v>0.14687499999999998</c:v>
                </c:pt>
                <c:pt idx="3">
                  <c:v>0.14887499999999998</c:v>
                </c:pt>
                <c:pt idx="4">
                  <c:v>0.15195</c:v>
                </c:pt>
                <c:pt idx="5">
                  <c:v>0.15184999999999998</c:v>
                </c:pt>
                <c:pt idx="6">
                  <c:v>0.15007499999999999</c:v>
                </c:pt>
                <c:pt idx="7">
                  <c:v>0.149175</c:v>
                </c:pt>
                <c:pt idx="8">
                  <c:v>0.14812500000000001</c:v>
                </c:pt>
                <c:pt idx="9">
                  <c:v>0.14632500000000001</c:v>
                </c:pt>
                <c:pt idx="10">
                  <c:v>0.144625</c:v>
                </c:pt>
                <c:pt idx="11">
                  <c:v>0.143125</c:v>
                </c:pt>
                <c:pt idx="12">
                  <c:v>0.14195000000000002</c:v>
                </c:pt>
                <c:pt idx="13">
                  <c:v>0.13955000000000001</c:v>
                </c:pt>
                <c:pt idx="14">
                  <c:v>0.13647500000000001</c:v>
                </c:pt>
                <c:pt idx="15">
                  <c:v>0.13367500000000002</c:v>
                </c:pt>
                <c:pt idx="16">
                  <c:v>0.13120000000000001</c:v>
                </c:pt>
                <c:pt idx="17">
                  <c:v>0.12685480000000002</c:v>
                </c:pt>
                <c:pt idx="18">
                  <c:v>0.12106980000000002</c:v>
                </c:pt>
                <c:pt idx="19">
                  <c:v>0.11468480000000003</c:v>
                </c:pt>
                <c:pt idx="20">
                  <c:v>0.10829980000000004</c:v>
                </c:pt>
                <c:pt idx="21">
                  <c:v>0.10441480000000004</c:v>
                </c:pt>
                <c:pt idx="22">
                  <c:v>9.8729800000000034E-2</c:v>
                </c:pt>
                <c:pt idx="23">
                  <c:v>9.201980000000004E-2</c:v>
                </c:pt>
                <c:pt idx="24">
                  <c:v>8.7859800000000043E-2</c:v>
                </c:pt>
                <c:pt idx="25">
                  <c:v>8.5799800000000051E-2</c:v>
                </c:pt>
                <c:pt idx="26">
                  <c:v>8.4289800000000054E-2</c:v>
                </c:pt>
                <c:pt idx="27">
                  <c:v>8.4254800000000046E-2</c:v>
                </c:pt>
                <c:pt idx="28">
                  <c:v>8.5194800000000043E-2</c:v>
                </c:pt>
                <c:pt idx="29">
                  <c:v>9.1059800000000052E-2</c:v>
                </c:pt>
                <c:pt idx="30">
                  <c:v>9.7949800000000031E-2</c:v>
                </c:pt>
                <c:pt idx="31">
                  <c:v>0.10558980000000004</c:v>
                </c:pt>
                <c:pt idx="32">
                  <c:v>0.11642980000000006</c:v>
                </c:pt>
                <c:pt idx="33">
                  <c:v>0.12531980000000006</c:v>
                </c:pt>
                <c:pt idx="34">
                  <c:v>0.13445980000000007</c:v>
                </c:pt>
                <c:pt idx="35">
                  <c:v>0.14094980000000007</c:v>
                </c:pt>
                <c:pt idx="36">
                  <c:v>0.14973980000000009</c:v>
                </c:pt>
                <c:pt idx="37">
                  <c:v>0.15770480000000012</c:v>
                </c:pt>
                <c:pt idx="38">
                  <c:v>0.16176980000000013</c:v>
                </c:pt>
                <c:pt idx="39">
                  <c:v>0.16723480000000013</c:v>
                </c:pt>
                <c:pt idx="40">
                  <c:v>0.17289980000000013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9-48C5-855E-A88C22534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9940560"/>
        <c:axId val="1709951600"/>
      </c:lineChart>
      <c:catAx>
        <c:axId val="170994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Zaman</a:t>
                </a:r>
                <a:r>
                  <a:rPr lang="tr-TR" baseline="0"/>
                  <a:t> (s)</a:t>
                </a:r>
                <a:endParaRPr lang="tr-T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09951600"/>
        <c:crosses val="autoZero"/>
        <c:auto val="1"/>
        <c:lblAlgn val="ctr"/>
        <c:lblOffset val="100"/>
        <c:noMultiLvlLbl val="0"/>
      </c:catAx>
      <c:valAx>
        <c:axId val="170995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Konum</a:t>
                </a:r>
                <a:r>
                  <a:rPr lang="tr-TR" baseline="0"/>
                  <a:t> </a:t>
                </a:r>
                <a:r>
                  <a:rPr lang="tr-TR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0994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  <c:pt idx="0">
                  <c:v>IvmeY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h:mm:ss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449580</xdr:colOff>
      <xdr:row>0</xdr:row>
      <xdr:rowOff>163871</xdr:rowOff>
    </xdr:from>
    <xdr:to>
      <xdr:col>26</xdr:col>
      <xdr:colOff>24579</xdr:colOff>
      <xdr:row>30</xdr:row>
      <xdr:rowOff>114299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74007B53-6108-9B64-603B-80B6AF613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259"/>
  <sheetViews>
    <sheetView tabSelected="1" zoomScale="93" zoomScaleNormal="93" workbookViewId="0">
      <selection activeCell="D14" sqref="D14"/>
    </sheetView>
  </sheetViews>
  <sheetFormatPr defaultRowHeight="13.2" x14ac:dyDescent="0.25"/>
  <cols>
    <col min="1" max="1" width="13.21875" style="12" bestFit="1" customWidth="1"/>
    <col min="2" max="2" width="15" style="13" bestFit="1" customWidth="1"/>
    <col min="3" max="3" width="11.109375" style="13" bestFit="1" customWidth="1"/>
    <col min="4" max="4" width="18.21875" style="13" customWidth="1"/>
    <col min="5" max="5" width="14.21875" style="13" bestFit="1" customWidth="1"/>
    <col min="6" max="6" width="15.6640625" style="1" bestFit="1" customWidth="1"/>
    <col min="7" max="7" width="25.5546875" style="1" bestFit="1" customWidth="1"/>
    <col min="8" max="8" width="31.21875" style="1" bestFit="1" customWidth="1"/>
    <col min="9" max="9" width="31.88671875" style="1" bestFit="1" customWidth="1"/>
    <col min="10" max="10" width="24.88671875" bestFit="1" customWidth="1"/>
    <col min="11" max="11" width="17.6640625" bestFit="1" customWidth="1"/>
    <col min="12" max="12" width="25.44140625" bestFit="1" customWidth="1"/>
  </cols>
  <sheetData>
    <row r="1" spans="1:12" s="14" customFormat="1" x14ac:dyDescent="0.25">
      <c r="A1" s="8" t="s">
        <v>6</v>
      </c>
      <c r="B1" s="2" t="s">
        <v>7</v>
      </c>
      <c r="C1" s="2" t="s">
        <v>5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6" t="s">
        <v>14</v>
      </c>
      <c r="K1" s="14" t="s">
        <v>15</v>
      </c>
      <c r="L1" s="14" t="s">
        <v>16</v>
      </c>
    </row>
    <row r="2" spans="1:12" x14ac:dyDescent="0.25">
      <c r="A2" s="12">
        <v>1325</v>
      </c>
      <c r="B2" s="13">
        <v>0</v>
      </c>
      <c r="C2" s="13">
        <v>0</v>
      </c>
      <c r="D2" s="13">
        <v>-1.79</v>
      </c>
      <c r="F2" s="1">
        <f>(A2-$A$2)/1000</f>
        <v>0</v>
      </c>
      <c r="G2" s="1">
        <f>D2 - (-2)</f>
        <v>0.20999999999999996</v>
      </c>
      <c r="H2" s="1">
        <v>0</v>
      </c>
      <c r="I2" s="1">
        <v>0</v>
      </c>
      <c r="J2" s="27">
        <f>(B2/20) * 6.2832</f>
        <v>0</v>
      </c>
      <c r="K2" s="1">
        <f xml:space="preserve"> (0.0416 * COS(J2)) + SQRT(0.1074^2 - (0.0416 * SIN(J2) - 0.0435)^2)</f>
        <v>0.13979628302537728</v>
      </c>
      <c r="L2" s="1">
        <f>I2 + 0.141</f>
        <v>0.14099999999999999</v>
      </c>
    </row>
    <row r="3" spans="1:12" x14ac:dyDescent="0.25">
      <c r="A3" s="12">
        <v>1375</v>
      </c>
      <c r="B3" s="13">
        <v>0</v>
      </c>
      <c r="C3" s="11">
        <v>0</v>
      </c>
      <c r="D3" s="13">
        <v>-0.47</v>
      </c>
      <c r="E3">
        <f>E2 + (D3 * (A3-A2)/1000)</f>
        <v>-2.35E-2</v>
      </c>
      <c r="F3" s="1">
        <f>(A3-$A$2)/1000</f>
        <v>0.05</v>
      </c>
      <c r="G3" s="1">
        <f t="shared" ref="G3:G42" si="0">D3 - (-2)</f>
        <v>1.53</v>
      </c>
      <c r="H3" s="1">
        <f>H2 + (G3 * (F3-F2))</f>
        <v>7.6500000000000012E-2</v>
      </c>
      <c r="I3" s="1">
        <f>I2 + (H3 * (F3-F2))</f>
        <v>3.8250000000000007E-3</v>
      </c>
      <c r="J3" s="27">
        <f t="shared" ref="J3:J42" si="1">(B3/20) * 6.2832</f>
        <v>0</v>
      </c>
      <c r="K3" s="1">
        <f t="shared" ref="K3:K42" si="2" xml:space="preserve"> (0.0416 * COS(J3)) + SQRT(0.1074^2 - (0.0416 * SIN(J3) - 0.0435)^2)</f>
        <v>0.13979628302537728</v>
      </c>
      <c r="L3" s="1">
        <f t="shared" ref="L3:L42" si="3">I3 + 0.141</f>
        <v>0.14482499999999998</v>
      </c>
    </row>
    <row r="4" spans="1:12" x14ac:dyDescent="0.25">
      <c r="A4" s="12">
        <v>1425</v>
      </c>
      <c r="B4" s="13">
        <v>1</v>
      </c>
      <c r="C4" s="13">
        <v>60</v>
      </c>
      <c r="D4" s="13">
        <v>-2.71</v>
      </c>
      <c r="E4">
        <f t="shared" ref="E4:E42" si="4">E3 + (D4 * (A4-A3)/1000)</f>
        <v>-0.159</v>
      </c>
      <c r="F4" s="1">
        <f>(A4-$A$2)/1000</f>
        <v>0.1</v>
      </c>
      <c r="G4" s="1">
        <f t="shared" si="0"/>
        <v>-0.71</v>
      </c>
      <c r="H4" s="1">
        <f t="shared" ref="H4:H42" si="5">H3 + (G4 * (F4-F3))</f>
        <v>4.1000000000000016E-2</v>
      </c>
      <c r="I4" s="1">
        <f t="shared" ref="I4:I42" si="6">I3 + (H4 * (F4-F3))</f>
        <v>5.8750000000000017E-3</v>
      </c>
      <c r="J4" s="27">
        <f t="shared" si="1"/>
        <v>0.31415999999999999</v>
      </c>
      <c r="K4" s="1">
        <f t="shared" si="2"/>
        <v>0.1424991266405625</v>
      </c>
      <c r="L4" s="1">
        <f t="shared" si="3"/>
        <v>0.14687499999999998</v>
      </c>
    </row>
    <row r="5" spans="1:12" x14ac:dyDescent="0.25">
      <c r="A5" s="12">
        <v>1475</v>
      </c>
      <c r="B5" s="13">
        <v>1</v>
      </c>
      <c r="C5" s="11">
        <v>0</v>
      </c>
      <c r="D5" s="13">
        <v>-2.02</v>
      </c>
      <c r="E5">
        <f t="shared" si="4"/>
        <v>-0.26</v>
      </c>
      <c r="F5" s="1">
        <f>(A5-$A$2)/1000</f>
        <v>0.15</v>
      </c>
      <c r="G5" s="1">
        <f t="shared" si="0"/>
        <v>-2.0000000000000018E-2</v>
      </c>
      <c r="H5" s="1">
        <f t="shared" si="5"/>
        <v>4.0000000000000015E-2</v>
      </c>
      <c r="I5" s="1">
        <f t="shared" si="6"/>
        <v>7.8750000000000018E-3</v>
      </c>
      <c r="J5" s="27">
        <f t="shared" si="1"/>
        <v>0.31415999999999999</v>
      </c>
      <c r="K5" s="1">
        <f t="shared" si="2"/>
        <v>0.1424991266405625</v>
      </c>
      <c r="L5" s="1">
        <f t="shared" si="3"/>
        <v>0.14887499999999998</v>
      </c>
    </row>
    <row r="6" spans="1:12" x14ac:dyDescent="0.25">
      <c r="A6" s="12">
        <v>1525</v>
      </c>
      <c r="B6" s="13">
        <v>2</v>
      </c>
      <c r="C6" s="13">
        <v>60</v>
      </c>
      <c r="D6" s="13">
        <v>-1.57</v>
      </c>
      <c r="E6">
        <f t="shared" si="4"/>
        <v>-0.33850000000000002</v>
      </c>
      <c r="F6" s="1">
        <f>(A6-$A$2)/1000</f>
        <v>0.2</v>
      </c>
      <c r="G6" s="1">
        <f t="shared" si="0"/>
        <v>0.42999999999999994</v>
      </c>
      <c r="H6" s="1">
        <f t="shared" si="5"/>
        <v>6.150000000000002E-2</v>
      </c>
      <c r="I6" s="1">
        <f t="shared" si="6"/>
        <v>1.0950000000000005E-2</v>
      </c>
      <c r="J6" s="27">
        <f t="shared" si="1"/>
        <v>0.62831999999999999</v>
      </c>
      <c r="K6" s="1">
        <f t="shared" si="2"/>
        <v>0.1393524243353827</v>
      </c>
      <c r="L6" s="1">
        <f t="shared" si="3"/>
        <v>0.15195</v>
      </c>
    </row>
    <row r="7" spans="1:12" x14ac:dyDescent="0.25">
      <c r="A7" s="12">
        <v>1575</v>
      </c>
      <c r="B7" s="13">
        <v>3</v>
      </c>
      <c r="C7" s="11">
        <v>60</v>
      </c>
      <c r="D7" s="13">
        <v>-3.27</v>
      </c>
      <c r="E7">
        <f t="shared" si="4"/>
        <v>-0.502</v>
      </c>
      <c r="F7" s="1">
        <f>(A7-$A$2)/1000</f>
        <v>0.25</v>
      </c>
      <c r="G7" s="1">
        <f t="shared" si="0"/>
        <v>-1.27</v>
      </c>
      <c r="H7" s="1">
        <f t="shared" si="5"/>
        <v>-1.9999999999999671E-3</v>
      </c>
      <c r="I7" s="1">
        <f t="shared" si="6"/>
        <v>1.0850000000000007E-2</v>
      </c>
      <c r="J7" s="27">
        <f t="shared" si="1"/>
        <v>0.94247999999999998</v>
      </c>
      <c r="K7" s="1">
        <f t="shared" si="2"/>
        <v>0.13139962606460809</v>
      </c>
      <c r="L7" s="1">
        <f t="shared" si="3"/>
        <v>0.15184999999999998</v>
      </c>
    </row>
    <row r="8" spans="1:12" x14ac:dyDescent="0.25">
      <c r="A8" s="12">
        <v>1625</v>
      </c>
      <c r="B8" s="13">
        <v>4</v>
      </c>
      <c r="C8" s="13">
        <v>60</v>
      </c>
      <c r="D8" s="13">
        <v>-2.67</v>
      </c>
      <c r="E8">
        <f t="shared" si="4"/>
        <v>-0.63549999999999995</v>
      </c>
      <c r="F8" s="1">
        <f>(A8-$A$2)/1000</f>
        <v>0.3</v>
      </c>
      <c r="G8" s="1">
        <f t="shared" si="0"/>
        <v>-0.66999999999999993</v>
      </c>
      <c r="H8" s="1">
        <f t="shared" si="5"/>
        <v>-3.5499999999999955E-2</v>
      </c>
      <c r="I8" s="1">
        <f t="shared" si="6"/>
        <v>9.0750000000000101E-3</v>
      </c>
      <c r="J8" s="27">
        <f t="shared" si="1"/>
        <v>1.25664</v>
      </c>
      <c r="K8" s="1">
        <f t="shared" si="2"/>
        <v>0.12018284271088078</v>
      </c>
      <c r="L8" s="1">
        <f t="shared" si="3"/>
        <v>0.15007499999999999</v>
      </c>
    </row>
    <row r="9" spans="1:12" x14ac:dyDescent="0.25">
      <c r="A9" s="12">
        <v>1675</v>
      </c>
      <c r="B9" s="13">
        <v>4</v>
      </c>
      <c r="C9" s="11">
        <v>0</v>
      </c>
      <c r="D9" s="13">
        <v>-1.65</v>
      </c>
      <c r="E9">
        <f t="shared" si="4"/>
        <v>-0.71799999999999997</v>
      </c>
      <c r="F9" s="1">
        <f>(A9-$A$2)/1000</f>
        <v>0.35</v>
      </c>
      <c r="G9" s="1">
        <f t="shared" si="0"/>
        <v>0.35000000000000009</v>
      </c>
      <c r="H9" s="1">
        <f t="shared" si="5"/>
        <v>-1.7999999999999954E-2</v>
      </c>
      <c r="I9" s="1">
        <f t="shared" si="6"/>
        <v>8.1750000000000121E-3</v>
      </c>
      <c r="J9" s="27">
        <f t="shared" si="1"/>
        <v>1.25664</v>
      </c>
      <c r="K9" s="1">
        <f t="shared" si="2"/>
        <v>0.12018284271088078</v>
      </c>
      <c r="L9" s="1">
        <f t="shared" si="3"/>
        <v>0.149175</v>
      </c>
    </row>
    <row r="10" spans="1:12" x14ac:dyDescent="0.25">
      <c r="A10" s="12">
        <v>1725</v>
      </c>
      <c r="B10" s="13">
        <v>5</v>
      </c>
      <c r="C10" s="13">
        <v>60</v>
      </c>
      <c r="D10" s="13">
        <v>-2.06</v>
      </c>
      <c r="E10">
        <f t="shared" si="4"/>
        <v>-0.82099999999999995</v>
      </c>
      <c r="F10" s="1">
        <f>(A10-$A$2)/1000</f>
        <v>0.4</v>
      </c>
      <c r="G10" s="1">
        <f t="shared" si="0"/>
        <v>-6.0000000000000053E-2</v>
      </c>
      <c r="H10" s="1">
        <f t="shared" si="5"/>
        <v>-2.099999999999996E-2</v>
      </c>
      <c r="I10" s="1">
        <f t="shared" si="6"/>
        <v>7.1250000000000133E-3</v>
      </c>
      <c r="J10" s="27">
        <f t="shared" si="1"/>
        <v>1.5708</v>
      </c>
      <c r="K10" s="1">
        <f t="shared" si="2"/>
        <v>0.10738303954802872</v>
      </c>
      <c r="L10" s="1">
        <f t="shared" si="3"/>
        <v>0.14812500000000001</v>
      </c>
    </row>
    <row r="11" spans="1:12" x14ac:dyDescent="0.25">
      <c r="A11" s="12">
        <v>1775</v>
      </c>
      <c r="B11" s="13">
        <v>6</v>
      </c>
      <c r="C11" s="11">
        <v>60</v>
      </c>
      <c r="D11" s="13">
        <v>-2.2999999999999998</v>
      </c>
      <c r="E11">
        <f t="shared" si="4"/>
        <v>-0.93599999999999994</v>
      </c>
      <c r="F11" s="1">
        <f>(A11-$A$2)/1000</f>
        <v>0.45</v>
      </c>
      <c r="G11" s="1">
        <f t="shared" si="0"/>
        <v>-0.29999999999999982</v>
      </c>
      <c r="H11" s="1">
        <f t="shared" si="5"/>
        <v>-3.5999999999999949E-2</v>
      </c>
      <c r="I11" s="1">
        <f t="shared" si="6"/>
        <v>5.3250000000000164E-3</v>
      </c>
      <c r="J11" s="27">
        <f t="shared" si="1"/>
        <v>1.88496</v>
      </c>
      <c r="K11" s="1">
        <f t="shared" si="2"/>
        <v>9.4472567185076309E-2</v>
      </c>
      <c r="L11" s="1">
        <f t="shared" si="3"/>
        <v>0.14632500000000001</v>
      </c>
    </row>
    <row r="12" spans="1:12" x14ac:dyDescent="0.25">
      <c r="A12" s="12">
        <v>1825</v>
      </c>
      <c r="B12" s="13">
        <v>7</v>
      </c>
      <c r="C12" s="13">
        <v>60</v>
      </c>
      <c r="D12" s="13">
        <v>-1.96</v>
      </c>
      <c r="E12">
        <f t="shared" si="4"/>
        <v>-1.034</v>
      </c>
      <c r="F12" s="1">
        <f>(A12-$A$2)/1000</f>
        <v>0.5</v>
      </c>
      <c r="G12" s="1">
        <f t="shared" si="0"/>
        <v>4.0000000000000036E-2</v>
      </c>
      <c r="H12" s="1">
        <f t="shared" si="5"/>
        <v>-3.3999999999999947E-2</v>
      </c>
      <c r="I12" s="1">
        <f t="shared" si="6"/>
        <v>3.6250000000000197E-3</v>
      </c>
      <c r="J12" s="27">
        <f t="shared" si="1"/>
        <v>2.1991199999999997</v>
      </c>
      <c r="K12" s="1">
        <f t="shared" si="2"/>
        <v>8.2495777640635787E-2</v>
      </c>
      <c r="L12" s="1">
        <f t="shared" si="3"/>
        <v>0.144625</v>
      </c>
    </row>
    <row r="13" spans="1:12" x14ac:dyDescent="0.25">
      <c r="A13" s="12">
        <v>1875</v>
      </c>
      <c r="B13" s="13">
        <v>8</v>
      </c>
      <c r="C13" s="11">
        <v>60</v>
      </c>
      <c r="D13" s="13">
        <v>-1.92</v>
      </c>
      <c r="E13">
        <f t="shared" si="4"/>
        <v>-1.1300000000000001</v>
      </c>
      <c r="F13" s="1">
        <f>(A13-$A$2)/1000</f>
        <v>0.55000000000000004</v>
      </c>
      <c r="G13" s="1">
        <f t="shared" si="0"/>
        <v>8.0000000000000071E-2</v>
      </c>
      <c r="H13" s="1">
        <f t="shared" si="5"/>
        <v>-2.999999999999994E-2</v>
      </c>
      <c r="I13" s="1">
        <f t="shared" si="6"/>
        <v>2.1250000000000214E-3</v>
      </c>
      <c r="J13" s="27">
        <f t="shared" si="1"/>
        <v>2.51328</v>
      </c>
      <c r="K13" s="1">
        <f t="shared" si="2"/>
        <v>7.2042058066837139E-2</v>
      </c>
      <c r="L13" s="1">
        <f t="shared" si="3"/>
        <v>0.143125</v>
      </c>
    </row>
    <row r="14" spans="1:12" x14ac:dyDescent="0.25">
      <c r="A14" s="12">
        <v>1925</v>
      </c>
      <c r="B14" s="13">
        <v>9</v>
      </c>
      <c r="C14" s="13">
        <v>60</v>
      </c>
      <c r="D14" s="13">
        <v>-1.87</v>
      </c>
      <c r="E14">
        <f t="shared" si="4"/>
        <v>-1.2235</v>
      </c>
      <c r="F14" s="1">
        <f>(A14-$A$2)/1000</f>
        <v>0.6</v>
      </c>
      <c r="G14" s="1">
        <f t="shared" si="0"/>
        <v>0.12999999999999989</v>
      </c>
      <c r="H14" s="1">
        <f t="shared" si="5"/>
        <v>-2.3499999999999955E-2</v>
      </c>
      <c r="I14" s="1">
        <f t="shared" si="6"/>
        <v>9.5000000000002526E-4</v>
      </c>
      <c r="J14" s="27">
        <f t="shared" si="1"/>
        <v>2.8274400000000002</v>
      </c>
      <c r="K14" s="1">
        <f t="shared" si="2"/>
        <v>6.3371062403646983E-2</v>
      </c>
      <c r="L14" s="1">
        <f t="shared" si="3"/>
        <v>0.14195000000000002</v>
      </c>
    </row>
    <row r="15" spans="1:12" x14ac:dyDescent="0.25">
      <c r="A15" s="12">
        <v>1975</v>
      </c>
      <c r="B15" s="13">
        <v>10</v>
      </c>
      <c r="C15" s="11">
        <v>60</v>
      </c>
      <c r="D15" s="13">
        <v>-2.4900000000000002</v>
      </c>
      <c r="E15">
        <f t="shared" si="4"/>
        <v>-1.3480000000000001</v>
      </c>
      <c r="F15" s="1">
        <f>(A15-$A$2)/1000</f>
        <v>0.65</v>
      </c>
      <c r="G15" s="1">
        <f t="shared" si="0"/>
        <v>-0.49000000000000021</v>
      </c>
      <c r="H15" s="1">
        <f t="shared" si="5"/>
        <v>-4.7999999999999987E-2</v>
      </c>
      <c r="I15" s="1">
        <f t="shared" si="6"/>
        <v>-1.4499999999999763E-3</v>
      </c>
      <c r="J15" s="27">
        <f t="shared" si="1"/>
        <v>3.1415999999999999</v>
      </c>
      <c r="K15" s="1">
        <f t="shared" si="2"/>
        <v>5.6596147643373694E-2</v>
      </c>
      <c r="L15" s="1">
        <f t="shared" si="3"/>
        <v>0.13955000000000001</v>
      </c>
    </row>
    <row r="16" spans="1:12" x14ac:dyDescent="0.25">
      <c r="A16" s="12">
        <v>2025</v>
      </c>
      <c r="B16" s="13">
        <v>10</v>
      </c>
      <c r="C16" s="13">
        <v>0</v>
      </c>
      <c r="D16" s="13">
        <v>-2.27</v>
      </c>
      <c r="E16">
        <f t="shared" si="4"/>
        <v>-1.4615</v>
      </c>
      <c r="F16" s="1">
        <f>(A16-$A$2)/1000</f>
        <v>0.7</v>
      </c>
      <c r="G16" s="1">
        <f t="shared" si="0"/>
        <v>-0.27</v>
      </c>
      <c r="H16" s="1">
        <f t="shared" si="5"/>
        <v>-6.1499999999999971E-2</v>
      </c>
      <c r="I16" s="1">
        <f t="shared" si="6"/>
        <v>-4.5249999999999709E-3</v>
      </c>
      <c r="J16" s="27">
        <f t="shared" si="1"/>
        <v>3.1415999999999999</v>
      </c>
      <c r="K16" s="1">
        <f t="shared" si="2"/>
        <v>5.6596147643373694E-2</v>
      </c>
      <c r="L16" s="1">
        <f t="shared" si="3"/>
        <v>0.13647500000000001</v>
      </c>
    </row>
    <row r="17" spans="1:12" x14ac:dyDescent="0.25">
      <c r="A17" s="12">
        <v>2075</v>
      </c>
      <c r="B17" s="13">
        <v>11</v>
      </c>
      <c r="C17" s="11">
        <v>60</v>
      </c>
      <c r="D17" s="13">
        <v>-1.89</v>
      </c>
      <c r="E17">
        <f t="shared" si="4"/>
        <v>-1.556</v>
      </c>
      <c r="F17" s="1">
        <f>(A17-$A$2)/1000</f>
        <v>0.75</v>
      </c>
      <c r="G17" s="1">
        <f t="shared" si="0"/>
        <v>0.1100000000000001</v>
      </c>
      <c r="H17" s="1">
        <f t="shared" si="5"/>
        <v>-5.599999999999996E-2</v>
      </c>
      <c r="I17" s="1">
        <f t="shared" si="6"/>
        <v>-7.3249999999999713E-3</v>
      </c>
      <c r="J17" s="27">
        <f t="shared" si="1"/>
        <v>3.4557600000000002</v>
      </c>
      <c r="K17" s="1">
        <f t="shared" si="2"/>
        <v>5.1862767548706605E-2</v>
      </c>
      <c r="L17" s="1">
        <f t="shared" si="3"/>
        <v>0.13367500000000002</v>
      </c>
    </row>
    <row r="18" spans="1:12" x14ac:dyDescent="0.25">
      <c r="A18" s="12">
        <v>2125</v>
      </c>
      <c r="B18" s="13">
        <v>12</v>
      </c>
      <c r="C18" s="13">
        <v>60</v>
      </c>
      <c r="D18" s="13">
        <v>-1.87</v>
      </c>
      <c r="E18">
        <f t="shared" si="4"/>
        <v>-1.6495</v>
      </c>
      <c r="F18" s="1">
        <f>(A18-$A$2)/1000</f>
        <v>0.8</v>
      </c>
      <c r="G18" s="1">
        <f t="shared" si="0"/>
        <v>0.12999999999999989</v>
      </c>
      <c r="H18" s="1">
        <f t="shared" si="5"/>
        <v>-4.9499999999999961E-2</v>
      </c>
      <c r="I18" s="1">
        <f t="shared" si="6"/>
        <v>-9.7999999999999719E-3</v>
      </c>
      <c r="J18" s="27">
        <f t="shared" si="1"/>
        <v>3.7699199999999999</v>
      </c>
      <c r="K18" s="1">
        <f t="shared" si="2"/>
        <v>4.9515196476491045E-2</v>
      </c>
      <c r="L18" s="1">
        <f t="shared" si="3"/>
        <v>0.13120000000000001</v>
      </c>
    </row>
    <row r="19" spans="1:12" x14ac:dyDescent="0.25">
      <c r="A19" s="12">
        <v>2176</v>
      </c>
      <c r="B19" s="13">
        <v>13</v>
      </c>
      <c r="C19" s="11">
        <v>58.82</v>
      </c>
      <c r="D19" s="13">
        <v>-2.7</v>
      </c>
      <c r="E19">
        <f t="shared" si="4"/>
        <v>-1.7871999999999999</v>
      </c>
      <c r="F19" s="1">
        <f>(A19-$A$2)/1000</f>
        <v>0.85099999999999998</v>
      </c>
      <c r="G19" s="1">
        <f t="shared" si="0"/>
        <v>-0.70000000000000018</v>
      </c>
      <c r="H19" s="1">
        <f t="shared" si="5"/>
        <v>-8.5199999999999915E-2</v>
      </c>
      <c r="I19" s="1">
        <f t="shared" si="6"/>
        <v>-1.4145199999999962E-2</v>
      </c>
      <c r="J19" s="27">
        <f t="shared" si="1"/>
        <v>4.0840800000000002</v>
      </c>
      <c r="K19" s="1">
        <f t="shared" si="2"/>
        <v>5.0259989736747168E-2</v>
      </c>
      <c r="L19" s="1">
        <f t="shared" si="3"/>
        <v>0.12685480000000002</v>
      </c>
    </row>
    <row r="20" spans="1:12" x14ac:dyDescent="0.25">
      <c r="A20" s="12">
        <v>2226</v>
      </c>
      <c r="B20" s="13">
        <v>14</v>
      </c>
      <c r="C20" s="13">
        <v>60</v>
      </c>
      <c r="D20" s="13">
        <v>-2.61</v>
      </c>
      <c r="E20">
        <f t="shared" si="4"/>
        <v>-1.9177</v>
      </c>
      <c r="F20" s="1">
        <f>(A20-$A$2)/1000</f>
        <v>0.90100000000000002</v>
      </c>
      <c r="G20" s="1">
        <f t="shared" si="0"/>
        <v>-0.60999999999999988</v>
      </c>
      <c r="H20" s="1">
        <f t="shared" si="5"/>
        <v>-0.11569999999999994</v>
      </c>
      <c r="I20" s="1">
        <f t="shared" si="6"/>
        <v>-1.9930199999999964E-2</v>
      </c>
      <c r="J20" s="27">
        <f t="shared" si="1"/>
        <v>4.3982399999999995</v>
      </c>
      <c r="K20" s="1">
        <f t="shared" si="2"/>
        <v>5.5227001360908551E-2</v>
      </c>
      <c r="L20" s="1">
        <f t="shared" si="3"/>
        <v>0.12106980000000002</v>
      </c>
    </row>
    <row r="21" spans="1:12" x14ac:dyDescent="0.25">
      <c r="A21" s="12">
        <v>2276</v>
      </c>
      <c r="B21" s="13">
        <v>15</v>
      </c>
      <c r="C21" s="11">
        <v>60</v>
      </c>
      <c r="D21" s="13">
        <v>-2.2400000000000002</v>
      </c>
      <c r="E21">
        <f t="shared" si="4"/>
        <v>-2.0297000000000001</v>
      </c>
      <c r="F21" s="1">
        <f>(A21-$A$2)/1000</f>
        <v>0.95099999999999996</v>
      </c>
      <c r="G21" s="1">
        <f t="shared" si="0"/>
        <v>-0.24000000000000021</v>
      </c>
      <c r="H21" s="1">
        <f t="shared" si="5"/>
        <v>-0.12769999999999992</v>
      </c>
      <c r="I21" s="1">
        <f t="shared" si="6"/>
        <v>-2.6315199999999952E-2</v>
      </c>
      <c r="J21" s="27">
        <f t="shared" si="1"/>
        <v>4.7123999999999997</v>
      </c>
      <c r="K21" s="1">
        <f t="shared" si="2"/>
        <v>6.5519539609416325E-2</v>
      </c>
      <c r="L21" s="1">
        <f t="shared" si="3"/>
        <v>0.11468480000000003</v>
      </c>
    </row>
    <row r="22" spans="1:12" x14ac:dyDescent="0.25">
      <c r="A22" s="12">
        <v>2326</v>
      </c>
      <c r="B22" s="13">
        <v>15</v>
      </c>
      <c r="C22" s="13">
        <v>0</v>
      </c>
      <c r="D22" s="13">
        <v>-2</v>
      </c>
      <c r="E22">
        <f t="shared" si="4"/>
        <v>-2.1297000000000001</v>
      </c>
      <c r="F22" s="1">
        <f>(A22-$A$2)/1000</f>
        <v>1.0009999999999999</v>
      </c>
      <c r="G22" s="1">
        <f t="shared" si="0"/>
        <v>0</v>
      </c>
      <c r="H22" s="1">
        <f t="shared" si="5"/>
        <v>-0.12769999999999992</v>
      </c>
      <c r="I22" s="1">
        <f t="shared" si="6"/>
        <v>-3.2700199999999943E-2</v>
      </c>
      <c r="J22" s="27">
        <f t="shared" si="1"/>
        <v>4.7123999999999997</v>
      </c>
      <c r="K22" s="1">
        <f t="shared" si="2"/>
        <v>6.5519539609416325E-2</v>
      </c>
      <c r="L22" s="1">
        <f t="shared" si="3"/>
        <v>0.10829980000000004</v>
      </c>
    </row>
    <row r="23" spans="1:12" x14ac:dyDescent="0.25">
      <c r="A23" s="12">
        <v>2376</v>
      </c>
      <c r="B23" s="13">
        <v>16</v>
      </c>
      <c r="C23" s="11">
        <v>60</v>
      </c>
      <c r="D23" s="13">
        <v>-1</v>
      </c>
      <c r="E23">
        <f t="shared" si="4"/>
        <v>-2.1797</v>
      </c>
      <c r="F23" s="1">
        <f>(A23-$A$2)/1000</f>
        <v>1.0509999999999999</v>
      </c>
      <c r="G23" s="1">
        <f t="shared" si="0"/>
        <v>1</v>
      </c>
      <c r="H23" s="1">
        <f t="shared" si="5"/>
        <v>-7.769999999999988E-2</v>
      </c>
      <c r="I23" s="1">
        <f t="shared" si="6"/>
        <v>-3.6585199999999943E-2</v>
      </c>
      <c r="J23" s="27">
        <f t="shared" si="1"/>
        <v>5.0265599999999999</v>
      </c>
      <c r="K23" s="1">
        <f t="shared" si="2"/>
        <v>8.0937619085929141E-2</v>
      </c>
      <c r="L23" s="1">
        <f t="shared" si="3"/>
        <v>0.10441480000000004</v>
      </c>
    </row>
    <row r="24" spans="1:12" x14ac:dyDescent="0.25">
      <c r="A24" s="12">
        <v>2426</v>
      </c>
      <c r="B24" s="13">
        <v>17</v>
      </c>
      <c r="C24" s="13">
        <v>60</v>
      </c>
      <c r="D24" s="13">
        <v>-2.72</v>
      </c>
      <c r="E24">
        <f t="shared" si="4"/>
        <v>-2.3157000000000001</v>
      </c>
      <c r="F24" s="1">
        <f>(A24-$A$2)/1000</f>
        <v>1.101</v>
      </c>
      <c r="G24" s="1">
        <f t="shared" si="0"/>
        <v>-0.7200000000000002</v>
      </c>
      <c r="H24" s="1">
        <f t="shared" si="5"/>
        <v>-0.11369999999999991</v>
      </c>
      <c r="I24" s="1">
        <f t="shared" si="6"/>
        <v>-4.2270199999999945E-2</v>
      </c>
      <c r="J24" s="27">
        <f t="shared" si="1"/>
        <v>5.3407200000000001</v>
      </c>
      <c r="K24" s="1">
        <f t="shared" si="2"/>
        <v>9.9164378146948715E-2</v>
      </c>
      <c r="L24" s="1">
        <f t="shared" si="3"/>
        <v>9.8729800000000034E-2</v>
      </c>
    </row>
    <row r="25" spans="1:12" x14ac:dyDescent="0.25">
      <c r="A25" s="12">
        <v>2476</v>
      </c>
      <c r="B25" s="13">
        <v>18</v>
      </c>
      <c r="C25" s="11">
        <v>60</v>
      </c>
      <c r="D25" s="13">
        <v>-2.41</v>
      </c>
      <c r="E25">
        <f t="shared" si="4"/>
        <v>-2.4361999999999999</v>
      </c>
      <c r="F25" s="1">
        <f>(A25-$A$2)/1000</f>
        <v>1.151</v>
      </c>
      <c r="G25" s="1">
        <f t="shared" si="0"/>
        <v>-0.41000000000000014</v>
      </c>
      <c r="H25" s="1">
        <f t="shared" si="5"/>
        <v>-0.13419999999999993</v>
      </c>
      <c r="I25" s="1">
        <f t="shared" si="6"/>
        <v>-4.8980199999999946E-2</v>
      </c>
      <c r="J25" s="27">
        <f t="shared" si="1"/>
        <v>5.6548800000000004</v>
      </c>
      <c r="K25" s="1">
        <f t="shared" si="2"/>
        <v>0.11682612419497543</v>
      </c>
      <c r="L25" s="1">
        <f t="shared" si="3"/>
        <v>9.201980000000004E-2</v>
      </c>
    </row>
    <row r="26" spans="1:12" x14ac:dyDescent="0.25">
      <c r="A26" s="12">
        <v>2526</v>
      </c>
      <c r="B26" s="13">
        <v>19</v>
      </c>
      <c r="C26" s="13">
        <v>60</v>
      </c>
      <c r="D26" s="13">
        <v>-0.98</v>
      </c>
      <c r="E26">
        <f t="shared" si="4"/>
        <v>-2.4851999999999999</v>
      </c>
      <c r="F26" s="1">
        <f>(A26-$A$2)/1000</f>
        <v>1.2010000000000001</v>
      </c>
      <c r="G26" s="1">
        <f t="shared" si="0"/>
        <v>1.02</v>
      </c>
      <c r="H26" s="1">
        <f t="shared" si="5"/>
        <v>-8.3199999999999885E-2</v>
      </c>
      <c r="I26" s="1">
        <f t="shared" si="6"/>
        <v>-5.3140199999999943E-2</v>
      </c>
      <c r="J26" s="27">
        <f t="shared" si="1"/>
        <v>5.9690399999999997</v>
      </c>
      <c r="K26" s="1">
        <f t="shared" si="2"/>
        <v>0.13099128272134261</v>
      </c>
      <c r="L26" s="1">
        <f t="shared" si="3"/>
        <v>8.7859800000000043E-2</v>
      </c>
    </row>
    <row r="27" spans="1:12" x14ac:dyDescent="0.25">
      <c r="A27" s="12">
        <v>2576</v>
      </c>
      <c r="B27" s="13">
        <v>20</v>
      </c>
      <c r="C27" s="11">
        <v>60</v>
      </c>
      <c r="D27" s="13">
        <v>-1.1599999999999999</v>
      </c>
      <c r="E27">
        <f t="shared" si="4"/>
        <v>-2.5431999999999997</v>
      </c>
      <c r="F27" s="1">
        <f>(A27-$A$2)/1000</f>
        <v>1.2509999999999999</v>
      </c>
      <c r="G27" s="1">
        <f t="shared" si="0"/>
        <v>0.84000000000000008</v>
      </c>
      <c r="H27" s="1">
        <f t="shared" si="5"/>
        <v>-4.1200000000000028E-2</v>
      </c>
      <c r="I27" s="1">
        <f t="shared" si="6"/>
        <v>-5.5200199999999935E-2</v>
      </c>
      <c r="J27" s="27">
        <f t="shared" si="1"/>
        <v>6.2831999999999999</v>
      </c>
      <c r="K27" s="1">
        <f t="shared" si="2"/>
        <v>0.13979655378372596</v>
      </c>
      <c r="L27" s="1">
        <f t="shared" si="3"/>
        <v>8.5799800000000051E-2</v>
      </c>
    </row>
    <row r="28" spans="1:12" x14ac:dyDescent="0.25">
      <c r="A28" s="12">
        <v>2626</v>
      </c>
      <c r="B28" s="13">
        <v>21</v>
      </c>
      <c r="C28" s="13">
        <v>60</v>
      </c>
      <c r="D28" s="13">
        <v>-1.78</v>
      </c>
      <c r="E28">
        <f t="shared" si="4"/>
        <v>-2.6321999999999997</v>
      </c>
      <c r="F28" s="1">
        <f>(A28-$A$2)/1000</f>
        <v>1.3009999999999999</v>
      </c>
      <c r="G28" s="1">
        <f t="shared" si="0"/>
        <v>0.21999999999999997</v>
      </c>
      <c r="H28" s="1">
        <f t="shared" si="5"/>
        <v>-3.0200000000000018E-2</v>
      </c>
      <c r="I28" s="1">
        <f t="shared" si="6"/>
        <v>-5.671019999999994E-2</v>
      </c>
      <c r="J28" s="27">
        <f t="shared" si="1"/>
        <v>6.5973600000000001</v>
      </c>
      <c r="K28" s="1">
        <f t="shared" si="2"/>
        <v>0.14249911081663286</v>
      </c>
      <c r="L28" s="1">
        <f t="shared" si="3"/>
        <v>8.4289800000000054E-2</v>
      </c>
    </row>
    <row r="29" spans="1:12" x14ac:dyDescent="0.25">
      <c r="A29" s="12">
        <v>2676</v>
      </c>
      <c r="B29" s="13">
        <v>22</v>
      </c>
      <c r="C29" s="11">
        <v>60</v>
      </c>
      <c r="D29" s="13">
        <v>-1.41</v>
      </c>
      <c r="E29">
        <f t="shared" si="4"/>
        <v>-2.7026999999999997</v>
      </c>
      <c r="F29" s="1">
        <f>(A29-$A$2)/1000</f>
        <v>1.351</v>
      </c>
      <c r="G29" s="1">
        <f t="shared" si="0"/>
        <v>0.59000000000000008</v>
      </c>
      <c r="H29" s="1">
        <f t="shared" si="5"/>
        <v>-6.9999999999998883E-4</v>
      </c>
      <c r="I29" s="1">
        <f t="shared" si="6"/>
        <v>-5.674519999999994E-2</v>
      </c>
      <c r="J29" s="27">
        <f t="shared" si="1"/>
        <v>6.9115200000000003</v>
      </c>
      <c r="K29" s="1">
        <f t="shared" si="2"/>
        <v>0.13935215417584049</v>
      </c>
      <c r="L29" s="1">
        <f t="shared" si="3"/>
        <v>8.4254800000000046E-2</v>
      </c>
    </row>
    <row r="30" spans="1:12" x14ac:dyDescent="0.25">
      <c r="A30" s="12">
        <v>2726</v>
      </c>
      <c r="B30" s="13">
        <v>23</v>
      </c>
      <c r="C30" s="13">
        <v>60</v>
      </c>
      <c r="D30" s="13">
        <v>-1.61</v>
      </c>
      <c r="E30">
        <f t="shared" si="4"/>
        <v>-2.7831999999999995</v>
      </c>
      <c r="F30" s="1">
        <f>(A30-$A$2)/1000</f>
        <v>1.401</v>
      </c>
      <c r="G30" s="1">
        <f t="shared" si="0"/>
        <v>0.3899999999999999</v>
      </c>
      <c r="H30" s="1">
        <f t="shared" si="5"/>
        <v>1.8800000000000025E-2</v>
      </c>
      <c r="I30" s="1">
        <f t="shared" si="6"/>
        <v>-5.5805199999999937E-2</v>
      </c>
      <c r="J30" s="27">
        <f t="shared" si="1"/>
        <v>7.2256799999999997</v>
      </c>
      <c r="K30" s="1">
        <f t="shared" si="2"/>
        <v>0.13139916464318541</v>
      </c>
      <c r="L30" s="1">
        <f t="shared" si="3"/>
        <v>8.5194800000000043E-2</v>
      </c>
    </row>
    <row r="31" spans="1:12" x14ac:dyDescent="0.25">
      <c r="A31" s="12">
        <v>2776</v>
      </c>
      <c r="B31" s="13">
        <v>24</v>
      </c>
      <c r="C31" s="11">
        <v>60</v>
      </c>
      <c r="D31" s="13">
        <v>-0.03</v>
      </c>
      <c r="E31">
        <f t="shared" si="4"/>
        <v>-2.7846999999999995</v>
      </c>
      <c r="F31" s="1">
        <f>(A31-$A$2)/1000</f>
        <v>1.4510000000000001</v>
      </c>
      <c r="G31" s="1">
        <f t="shared" si="0"/>
        <v>1.97</v>
      </c>
      <c r="H31" s="1">
        <f t="shared" si="5"/>
        <v>0.11730000000000011</v>
      </c>
      <c r="I31" s="1">
        <f t="shared" si="6"/>
        <v>-4.9940199999999928E-2</v>
      </c>
      <c r="J31" s="27">
        <f t="shared" si="1"/>
        <v>7.5398399999999999</v>
      </c>
      <c r="K31" s="1">
        <f t="shared" si="2"/>
        <v>0.12018226832919848</v>
      </c>
      <c r="L31" s="1">
        <f t="shared" si="3"/>
        <v>9.1059800000000052E-2</v>
      </c>
    </row>
    <row r="32" spans="1:12" x14ac:dyDescent="0.25">
      <c r="A32" s="12">
        <v>2826</v>
      </c>
      <c r="B32" s="13">
        <v>24</v>
      </c>
      <c r="C32" s="13">
        <v>0</v>
      </c>
      <c r="D32" s="13">
        <v>-1.59</v>
      </c>
      <c r="E32">
        <f t="shared" si="4"/>
        <v>-2.8641999999999994</v>
      </c>
      <c r="F32" s="1">
        <f>(A32-$A$2)/1000</f>
        <v>1.5009999999999999</v>
      </c>
      <c r="G32" s="1">
        <f t="shared" si="0"/>
        <v>0.40999999999999992</v>
      </c>
      <c r="H32" s="1">
        <f t="shared" si="5"/>
        <v>0.13780000000000003</v>
      </c>
      <c r="I32" s="1">
        <f t="shared" si="6"/>
        <v>-4.3050199999999948E-2</v>
      </c>
      <c r="J32" s="27">
        <f t="shared" si="1"/>
        <v>7.5398399999999999</v>
      </c>
      <c r="K32" s="1">
        <f t="shared" si="2"/>
        <v>0.12018226832919848</v>
      </c>
      <c r="L32" s="1">
        <f t="shared" si="3"/>
        <v>9.7949800000000031E-2</v>
      </c>
    </row>
    <row r="33" spans="1:12" x14ac:dyDescent="0.25">
      <c r="A33" s="12">
        <v>2876</v>
      </c>
      <c r="B33" s="13">
        <v>25</v>
      </c>
      <c r="C33" s="11">
        <v>60</v>
      </c>
      <c r="D33" s="13">
        <v>-1.7</v>
      </c>
      <c r="E33">
        <f t="shared" si="4"/>
        <v>-2.9491999999999994</v>
      </c>
      <c r="F33" s="1">
        <f>(A33-$A$2)/1000</f>
        <v>1.5509999999999999</v>
      </c>
      <c r="G33" s="1">
        <f t="shared" si="0"/>
        <v>0.30000000000000004</v>
      </c>
      <c r="H33" s="1">
        <f t="shared" si="5"/>
        <v>0.15280000000000005</v>
      </c>
      <c r="I33" s="1">
        <f t="shared" si="6"/>
        <v>-3.541019999999994E-2</v>
      </c>
      <c r="J33" s="27">
        <f t="shared" si="1"/>
        <v>7.8540000000000001</v>
      </c>
      <c r="K33" s="1">
        <f t="shared" si="2"/>
        <v>0.10738242832658039</v>
      </c>
      <c r="L33" s="1">
        <f t="shared" si="3"/>
        <v>0.10558980000000004</v>
      </c>
    </row>
    <row r="34" spans="1:12" x14ac:dyDescent="0.25">
      <c r="A34" s="12">
        <v>2926</v>
      </c>
      <c r="B34" s="13">
        <v>26</v>
      </c>
      <c r="C34" s="13">
        <v>60</v>
      </c>
      <c r="D34" s="13">
        <v>-0.72</v>
      </c>
      <c r="E34">
        <f t="shared" si="4"/>
        <v>-2.9851999999999994</v>
      </c>
      <c r="F34" s="1">
        <f>(A34-$A$2)/1000</f>
        <v>1.601</v>
      </c>
      <c r="G34" s="1">
        <f t="shared" si="0"/>
        <v>1.28</v>
      </c>
      <c r="H34" s="1">
        <f t="shared" si="5"/>
        <v>0.2168000000000001</v>
      </c>
      <c r="I34" s="1">
        <f t="shared" si="6"/>
        <v>-2.4570199999999924E-2</v>
      </c>
      <c r="J34" s="27">
        <f t="shared" si="1"/>
        <v>8.1681600000000003</v>
      </c>
      <c r="K34" s="1">
        <f t="shared" si="2"/>
        <v>9.4471978954010993E-2</v>
      </c>
      <c r="L34" s="1">
        <f t="shared" si="3"/>
        <v>0.11642980000000006</v>
      </c>
    </row>
    <row r="35" spans="1:12" x14ac:dyDescent="0.25">
      <c r="A35" s="12">
        <v>2976</v>
      </c>
      <c r="B35" s="13">
        <v>27</v>
      </c>
      <c r="C35" s="13">
        <v>60</v>
      </c>
      <c r="D35" s="13">
        <v>-2.78</v>
      </c>
      <c r="E35">
        <f t="shared" si="4"/>
        <v>-3.1241999999999992</v>
      </c>
      <c r="F35" s="1">
        <f>(A35-$A$2)/1000</f>
        <v>1.651</v>
      </c>
      <c r="G35" s="1">
        <f t="shared" si="0"/>
        <v>-0.7799999999999998</v>
      </c>
      <c r="H35" s="1">
        <f t="shared" si="5"/>
        <v>0.17780000000000007</v>
      </c>
      <c r="I35" s="1">
        <f t="shared" si="6"/>
        <v>-1.5680199999999915E-2</v>
      </c>
      <c r="J35" s="27">
        <f t="shared" si="1"/>
        <v>8.4823199999999996</v>
      </c>
      <c r="K35" s="1">
        <f t="shared" si="2"/>
        <v>8.2495250083400112E-2</v>
      </c>
      <c r="L35" s="1">
        <f t="shared" si="3"/>
        <v>0.12531980000000006</v>
      </c>
    </row>
    <row r="36" spans="1:12" x14ac:dyDescent="0.25">
      <c r="A36" s="12">
        <v>3026</v>
      </c>
      <c r="B36" s="13">
        <v>28</v>
      </c>
      <c r="C36" s="13">
        <v>60</v>
      </c>
      <c r="D36" s="13">
        <v>-1.9</v>
      </c>
      <c r="E36">
        <f t="shared" si="4"/>
        <v>-3.2191999999999994</v>
      </c>
      <c r="F36" s="1">
        <f>(A36-$A$2)/1000</f>
        <v>1.7010000000000001</v>
      </c>
      <c r="G36" s="1">
        <f t="shared" si="0"/>
        <v>0.10000000000000009</v>
      </c>
      <c r="H36" s="1">
        <f t="shared" si="5"/>
        <v>0.18280000000000007</v>
      </c>
      <c r="I36" s="1">
        <f t="shared" si="6"/>
        <v>-6.5401999999999041E-3</v>
      </c>
      <c r="J36" s="27">
        <f t="shared" si="1"/>
        <v>8.796479999999999</v>
      </c>
      <c r="K36" s="1">
        <f t="shared" si="2"/>
        <v>7.2041609689782946E-2</v>
      </c>
      <c r="L36" s="1">
        <f t="shared" si="3"/>
        <v>0.13445980000000007</v>
      </c>
    </row>
    <row r="37" spans="1:12" x14ac:dyDescent="0.25">
      <c r="A37" s="12">
        <v>3076</v>
      </c>
      <c r="B37" s="13">
        <v>28</v>
      </c>
      <c r="C37" s="13">
        <v>0</v>
      </c>
      <c r="D37" s="13">
        <v>-3.06</v>
      </c>
      <c r="E37">
        <f t="shared" si="4"/>
        <v>-3.3721999999999994</v>
      </c>
      <c r="F37" s="1">
        <f>(A37-$A$2)/1000</f>
        <v>1.7509999999999999</v>
      </c>
      <c r="G37" s="1">
        <f t="shared" si="0"/>
        <v>-1.06</v>
      </c>
      <c r="H37" s="1">
        <f t="shared" si="5"/>
        <v>0.12980000000000025</v>
      </c>
      <c r="I37" s="1">
        <f t="shared" si="6"/>
        <v>-5.0199999999914376E-5</v>
      </c>
      <c r="J37" s="27">
        <f t="shared" si="1"/>
        <v>8.796479999999999</v>
      </c>
      <c r="K37" s="1">
        <f t="shared" si="2"/>
        <v>7.2041609689782946E-2</v>
      </c>
      <c r="L37" s="1">
        <f t="shared" si="3"/>
        <v>0.14094980000000007</v>
      </c>
    </row>
    <row r="38" spans="1:12" x14ac:dyDescent="0.25">
      <c r="A38" s="12">
        <v>3126</v>
      </c>
      <c r="B38" s="13">
        <v>29</v>
      </c>
      <c r="C38" s="13">
        <v>60</v>
      </c>
      <c r="D38" s="13">
        <v>-1.08</v>
      </c>
      <c r="E38">
        <f t="shared" si="4"/>
        <v>-3.4261999999999992</v>
      </c>
      <c r="F38" s="1">
        <f>(A38-$A$2)/1000</f>
        <v>1.8009999999999999</v>
      </c>
      <c r="G38" s="1">
        <f t="shared" si="0"/>
        <v>0.91999999999999993</v>
      </c>
      <c r="H38" s="1">
        <f t="shared" si="5"/>
        <v>0.17580000000000029</v>
      </c>
      <c r="I38" s="1">
        <f t="shared" si="6"/>
        <v>8.7398000000001065E-3</v>
      </c>
      <c r="J38" s="27">
        <f t="shared" si="1"/>
        <v>9.1106400000000001</v>
      </c>
      <c r="K38" s="1">
        <f t="shared" si="2"/>
        <v>6.3370700468837013E-2</v>
      </c>
      <c r="L38" s="1">
        <f t="shared" si="3"/>
        <v>0.14973980000000009</v>
      </c>
    </row>
    <row r="39" spans="1:12" x14ac:dyDescent="0.25">
      <c r="A39" s="12">
        <v>3176</v>
      </c>
      <c r="B39" s="13">
        <v>30</v>
      </c>
      <c r="C39" s="13">
        <v>60</v>
      </c>
      <c r="D39" s="13">
        <v>-2.33</v>
      </c>
      <c r="E39">
        <f t="shared" si="4"/>
        <v>-3.5426999999999991</v>
      </c>
      <c r="F39" s="1">
        <f>(A39-$A$2)/1000</f>
        <v>1.851</v>
      </c>
      <c r="G39" s="1">
        <f t="shared" si="0"/>
        <v>-0.33000000000000007</v>
      </c>
      <c r="H39" s="1">
        <f t="shared" si="5"/>
        <v>0.15930000000000027</v>
      </c>
      <c r="I39" s="1">
        <f t="shared" si="6"/>
        <v>1.6704800000000127E-2</v>
      </c>
      <c r="J39" s="27">
        <f t="shared" si="1"/>
        <v>9.4247999999999994</v>
      </c>
      <c r="K39" s="1">
        <f t="shared" si="2"/>
        <v>5.6595876882688613E-2</v>
      </c>
      <c r="L39" s="1">
        <f t="shared" si="3"/>
        <v>0.15770480000000012</v>
      </c>
    </row>
    <row r="40" spans="1:12" x14ac:dyDescent="0.25">
      <c r="A40" s="12">
        <v>3226</v>
      </c>
      <c r="B40" s="13">
        <v>31</v>
      </c>
      <c r="C40" s="13">
        <v>60</v>
      </c>
      <c r="D40" s="13">
        <v>-3.56</v>
      </c>
      <c r="E40">
        <f t="shared" si="4"/>
        <v>-3.720699999999999</v>
      </c>
      <c r="F40" s="1">
        <f>(A40-$A$2)/1000</f>
        <v>1.901</v>
      </c>
      <c r="G40" s="1">
        <f t="shared" si="0"/>
        <v>-1.56</v>
      </c>
      <c r="H40" s="1">
        <f t="shared" si="5"/>
        <v>8.1300000000000205E-2</v>
      </c>
      <c r="I40" s="1">
        <f t="shared" si="6"/>
        <v>2.076980000000014E-2</v>
      </c>
      <c r="J40" s="27">
        <f t="shared" si="1"/>
        <v>9.7389600000000005</v>
      </c>
      <c r="K40" s="1">
        <f t="shared" si="2"/>
        <v>5.186259811727293E-2</v>
      </c>
      <c r="L40" s="1">
        <f t="shared" si="3"/>
        <v>0.16176980000000013</v>
      </c>
    </row>
    <row r="41" spans="1:12" x14ac:dyDescent="0.25">
      <c r="A41" s="12">
        <v>3276</v>
      </c>
      <c r="B41" s="13">
        <v>31</v>
      </c>
      <c r="C41" s="13">
        <v>0</v>
      </c>
      <c r="D41" s="13">
        <v>-1.44</v>
      </c>
      <c r="E41">
        <f t="shared" si="4"/>
        <v>-3.7926999999999991</v>
      </c>
      <c r="F41" s="1">
        <f>(A41-$A$2)/1000</f>
        <v>1.9510000000000001</v>
      </c>
      <c r="G41" s="1">
        <f t="shared" si="0"/>
        <v>0.56000000000000005</v>
      </c>
      <c r="H41" s="1">
        <f t="shared" si="5"/>
        <v>0.10930000000000023</v>
      </c>
      <c r="I41" s="1">
        <f t="shared" si="6"/>
        <v>2.6234800000000155E-2</v>
      </c>
      <c r="J41" s="27">
        <f t="shared" si="1"/>
        <v>9.7389600000000005</v>
      </c>
      <c r="K41" s="1">
        <f t="shared" si="2"/>
        <v>5.186259811727293E-2</v>
      </c>
      <c r="L41" s="1">
        <f t="shared" si="3"/>
        <v>0.16723480000000013</v>
      </c>
    </row>
    <row r="42" spans="1:12" x14ac:dyDescent="0.25">
      <c r="A42" s="12">
        <v>3326</v>
      </c>
      <c r="B42" s="13">
        <v>32</v>
      </c>
      <c r="C42" s="13">
        <v>60</v>
      </c>
      <c r="D42" s="13">
        <v>-1.92</v>
      </c>
      <c r="E42">
        <f t="shared" si="4"/>
        <v>-3.8886999999999992</v>
      </c>
      <c r="F42" s="1">
        <f>(A42-$A$2)/1000</f>
        <v>2.0009999999999999</v>
      </c>
      <c r="G42" s="1">
        <f t="shared" si="0"/>
        <v>8.0000000000000071E-2</v>
      </c>
      <c r="H42" s="1">
        <f t="shared" si="5"/>
        <v>0.11330000000000022</v>
      </c>
      <c r="I42" s="1">
        <f t="shared" si="6"/>
        <v>3.1899800000000145E-2</v>
      </c>
      <c r="J42" s="27">
        <f t="shared" si="1"/>
        <v>10.05312</v>
      </c>
      <c r="K42" s="1">
        <f t="shared" si="2"/>
        <v>4.951515174351305E-2</v>
      </c>
      <c r="L42" s="1">
        <f t="shared" si="3"/>
        <v>0.17289980000000013</v>
      </c>
    </row>
    <row r="43" spans="1:12" x14ac:dyDescent="0.25">
      <c r="E43"/>
      <c r="J43" s="27"/>
      <c r="K43" s="1"/>
      <c r="L43" s="1"/>
    </row>
    <row r="44" spans="1:12" x14ac:dyDescent="0.25">
      <c r="E44"/>
      <c r="J44" s="27"/>
      <c r="K44" s="1"/>
      <c r="L44" s="1"/>
    </row>
    <row r="45" spans="1:12" x14ac:dyDescent="0.25">
      <c r="E45"/>
      <c r="J45" s="27"/>
      <c r="K45" s="1"/>
      <c r="L45" s="1"/>
    </row>
    <row r="46" spans="1:12" x14ac:dyDescent="0.25">
      <c r="E46"/>
      <c r="J46" s="27"/>
      <c r="K46" s="1"/>
      <c r="L46" s="1"/>
    </row>
    <row r="47" spans="1:12" x14ac:dyDescent="0.25">
      <c r="E47"/>
      <c r="J47" s="27"/>
      <c r="K47" s="1"/>
      <c r="L47" s="1"/>
    </row>
    <row r="48" spans="1:12" x14ac:dyDescent="0.25">
      <c r="E48"/>
      <c r="J48" s="27"/>
      <c r="K48" s="1"/>
      <c r="L48" s="1"/>
    </row>
    <row r="49" spans="5:12" x14ac:dyDescent="0.25">
      <c r="E49"/>
      <c r="J49" s="27"/>
      <c r="K49" s="1"/>
      <c r="L49" s="1"/>
    </row>
    <row r="50" spans="5:12" x14ac:dyDescent="0.25">
      <c r="E50"/>
      <c r="J50" s="27"/>
      <c r="K50" s="1"/>
      <c r="L50" s="1"/>
    </row>
    <row r="51" spans="5:12" x14ac:dyDescent="0.25">
      <c r="E51"/>
      <c r="J51" s="27"/>
      <c r="K51" s="1"/>
      <c r="L51" s="1"/>
    </row>
    <row r="52" spans="5:12" x14ac:dyDescent="0.25">
      <c r="E52"/>
      <c r="J52" s="27"/>
      <c r="K52" s="1"/>
      <c r="L52" s="1"/>
    </row>
    <row r="53" spans="5:12" x14ac:dyDescent="0.25">
      <c r="E53"/>
      <c r="J53" s="27"/>
      <c r="K53" s="1"/>
      <c r="L53" s="1"/>
    </row>
    <row r="54" spans="5:12" x14ac:dyDescent="0.25">
      <c r="E54"/>
      <c r="J54" s="27"/>
      <c r="K54" s="1"/>
      <c r="L54" s="1"/>
    </row>
    <row r="55" spans="5:12" x14ac:dyDescent="0.25">
      <c r="E55"/>
      <c r="J55" s="27"/>
      <c r="K55" s="1"/>
      <c r="L55" s="1"/>
    </row>
    <row r="56" spans="5:12" x14ac:dyDescent="0.25">
      <c r="E56"/>
      <c r="J56" s="27"/>
      <c r="K56" s="1"/>
      <c r="L56" s="1"/>
    </row>
    <row r="57" spans="5:12" x14ac:dyDescent="0.25">
      <c r="E57"/>
      <c r="J57" s="27"/>
      <c r="K57" s="1"/>
      <c r="L57" s="1"/>
    </row>
    <row r="58" spans="5:12" x14ac:dyDescent="0.25">
      <c r="E58"/>
      <c r="J58" s="27"/>
      <c r="K58" s="1"/>
      <c r="L58" s="1"/>
    </row>
    <row r="59" spans="5:12" x14ac:dyDescent="0.25">
      <c r="E59"/>
      <c r="J59" s="27"/>
      <c r="K59" s="1"/>
      <c r="L59" s="1"/>
    </row>
    <row r="60" spans="5:12" x14ac:dyDescent="0.25">
      <c r="E60"/>
      <c r="J60" s="27"/>
      <c r="K60" s="1"/>
      <c r="L60" s="1"/>
    </row>
    <row r="61" spans="5:12" x14ac:dyDescent="0.25">
      <c r="E61"/>
      <c r="J61" s="27"/>
      <c r="K61" s="1"/>
      <c r="L61" s="1"/>
    </row>
    <row r="62" spans="5:12" x14ac:dyDescent="0.25">
      <c r="E62"/>
      <c r="J62" s="27"/>
      <c r="K62" s="1"/>
      <c r="L62" s="1"/>
    </row>
    <row r="63" spans="5:12" x14ac:dyDescent="0.25">
      <c r="E63"/>
      <c r="J63" s="27"/>
      <c r="K63" s="1"/>
      <c r="L63" s="1"/>
    </row>
    <row r="64" spans="5:12" x14ac:dyDescent="0.25">
      <c r="E64"/>
      <c r="J64" s="27"/>
      <c r="K64" s="1"/>
      <c r="L64" s="1"/>
    </row>
    <row r="65" spans="5:12" x14ac:dyDescent="0.25">
      <c r="E65"/>
      <c r="J65" s="27"/>
      <c r="K65" s="1"/>
      <c r="L65" s="1"/>
    </row>
    <row r="66" spans="5:12" x14ac:dyDescent="0.25">
      <c r="E66"/>
      <c r="J66" s="27"/>
      <c r="K66" s="1"/>
      <c r="L66" s="1"/>
    </row>
    <row r="67" spans="5:12" x14ac:dyDescent="0.25">
      <c r="E67"/>
      <c r="J67" s="27"/>
      <c r="K67" s="1"/>
      <c r="L67" s="1"/>
    </row>
    <row r="68" spans="5:12" x14ac:dyDescent="0.25">
      <c r="E68"/>
      <c r="J68" s="27"/>
      <c r="K68" s="1"/>
      <c r="L68" s="1"/>
    </row>
    <row r="69" spans="5:12" x14ac:dyDescent="0.25">
      <c r="E69"/>
      <c r="J69" s="27"/>
      <c r="K69" s="1"/>
      <c r="L69" s="1"/>
    </row>
    <row r="70" spans="5:12" x14ac:dyDescent="0.25">
      <c r="E70"/>
      <c r="J70" s="27"/>
      <c r="K70" s="1"/>
      <c r="L70" s="1"/>
    </row>
    <row r="71" spans="5:12" x14ac:dyDescent="0.25">
      <c r="E71"/>
      <c r="J71" s="27"/>
      <c r="K71" s="1"/>
      <c r="L71" s="1"/>
    </row>
    <row r="72" spans="5:12" x14ac:dyDescent="0.25">
      <c r="E72"/>
      <c r="J72" s="27"/>
      <c r="K72" s="1"/>
      <c r="L72" s="1"/>
    </row>
    <row r="73" spans="5:12" x14ac:dyDescent="0.25">
      <c r="E73"/>
      <c r="J73" s="27"/>
      <c r="K73" s="1"/>
      <c r="L73" s="1"/>
    </row>
    <row r="74" spans="5:12" x14ac:dyDescent="0.25">
      <c r="E74"/>
      <c r="J74" s="27"/>
      <c r="K74" s="1"/>
      <c r="L74" s="1"/>
    </row>
    <row r="75" spans="5:12" x14ac:dyDescent="0.25">
      <c r="E75"/>
      <c r="J75" s="27"/>
      <c r="K75" s="1"/>
      <c r="L75" s="1"/>
    </row>
    <row r="76" spans="5:12" x14ac:dyDescent="0.25">
      <c r="E76"/>
      <c r="J76" s="27"/>
      <c r="K76" s="1"/>
      <c r="L76" s="1"/>
    </row>
    <row r="77" spans="5:12" x14ac:dyDescent="0.25">
      <c r="E77"/>
      <c r="J77" s="27"/>
      <c r="K77" s="1"/>
      <c r="L77" s="1"/>
    </row>
    <row r="78" spans="5:12" x14ac:dyDescent="0.25">
      <c r="E78"/>
      <c r="J78" s="27"/>
      <c r="K78" s="1"/>
      <c r="L78" s="1"/>
    </row>
    <row r="79" spans="5:12" x14ac:dyDescent="0.25">
      <c r="E79"/>
      <c r="J79" s="27"/>
      <c r="K79" s="1"/>
      <c r="L79" s="1"/>
    </row>
    <row r="80" spans="5:12" x14ac:dyDescent="0.25">
      <c r="E80"/>
      <c r="J80" s="27"/>
      <c r="K80" s="1"/>
      <c r="L80" s="1"/>
    </row>
    <row r="81" spans="5:12" x14ac:dyDescent="0.25">
      <c r="E81"/>
      <c r="J81" s="27"/>
      <c r="K81" s="1"/>
      <c r="L81" s="1"/>
    </row>
    <row r="82" spans="5:12" x14ac:dyDescent="0.25">
      <c r="E82"/>
      <c r="J82" s="27"/>
      <c r="K82" s="1"/>
      <c r="L82" s="1"/>
    </row>
    <row r="83" spans="5:12" x14ac:dyDescent="0.25">
      <c r="E83"/>
      <c r="J83" s="27"/>
      <c r="K83" s="1"/>
      <c r="L83" s="1"/>
    </row>
    <row r="84" spans="5:12" x14ac:dyDescent="0.25">
      <c r="E84"/>
      <c r="J84" s="27"/>
      <c r="K84" s="1"/>
      <c r="L84" s="1"/>
    </row>
    <row r="85" spans="5:12" x14ac:dyDescent="0.25">
      <c r="E85"/>
      <c r="J85" s="27"/>
      <c r="K85" s="1"/>
      <c r="L85" s="1"/>
    </row>
    <row r="86" spans="5:12" x14ac:dyDescent="0.25">
      <c r="E86"/>
      <c r="J86" s="27"/>
      <c r="K86" s="1"/>
      <c r="L86" s="1"/>
    </row>
    <row r="87" spans="5:12" x14ac:dyDescent="0.25">
      <c r="E87"/>
      <c r="J87" s="27"/>
      <c r="K87" s="1"/>
      <c r="L87" s="1"/>
    </row>
    <row r="88" spans="5:12" x14ac:dyDescent="0.25">
      <c r="E88"/>
      <c r="J88" s="27"/>
      <c r="K88" s="1"/>
      <c r="L88" s="1"/>
    </row>
    <row r="89" spans="5:12" x14ac:dyDescent="0.25">
      <c r="E89"/>
      <c r="J89" s="27"/>
      <c r="K89" s="1"/>
      <c r="L89" s="1"/>
    </row>
    <row r="90" spans="5:12" x14ac:dyDescent="0.25">
      <c r="E90"/>
      <c r="J90" s="27"/>
      <c r="K90" s="1"/>
      <c r="L90" s="1"/>
    </row>
    <row r="91" spans="5:12" x14ac:dyDescent="0.25">
      <c r="E91"/>
      <c r="J91" s="27"/>
      <c r="K91" s="1"/>
      <c r="L91" s="1"/>
    </row>
    <row r="92" spans="5:12" x14ac:dyDescent="0.25">
      <c r="E92"/>
      <c r="J92" s="27"/>
      <c r="K92" s="1"/>
      <c r="L92" s="1"/>
    </row>
    <row r="93" spans="5:12" x14ac:dyDescent="0.25">
      <c r="E93"/>
      <c r="J93" s="27"/>
      <c r="K93" s="1"/>
      <c r="L93" s="1"/>
    </row>
    <row r="94" spans="5:12" x14ac:dyDescent="0.25">
      <c r="E94"/>
      <c r="J94" s="27"/>
      <c r="K94" s="1"/>
      <c r="L94" s="1"/>
    </row>
    <row r="95" spans="5:12" x14ac:dyDescent="0.25">
      <c r="E95"/>
      <c r="J95" s="27"/>
      <c r="K95" s="1"/>
      <c r="L95" s="1"/>
    </row>
    <row r="96" spans="5:12" x14ac:dyDescent="0.25">
      <c r="E96"/>
      <c r="J96" s="27"/>
      <c r="K96" s="1"/>
      <c r="L96" s="1"/>
    </row>
    <row r="97" spans="5:12" x14ac:dyDescent="0.25">
      <c r="E97"/>
      <c r="J97" s="27"/>
      <c r="K97" s="1"/>
      <c r="L97" s="1"/>
    </row>
    <row r="98" spans="5:12" x14ac:dyDescent="0.25">
      <c r="E98"/>
      <c r="J98" s="27"/>
      <c r="K98" s="1"/>
      <c r="L98" s="1"/>
    </row>
    <row r="99" spans="5:12" x14ac:dyDescent="0.25">
      <c r="E99"/>
      <c r="J99" s="27"/>
      <c r="K99" s="1"/>
      <c r="L99" s="1"/>
    </row>
    <row r="100" spans="5:12" x14ac:dyDescent="0.25">
      <c r="E100"/>
      <c r="J100" s="27"/>
      <c r="K100" s="1"/>
      <c r="L100" s="1"/>
    </row>
    <row r="101" spans="5:12" x14ac:dyDescent="0.25">
      <c r="E101"/>
      <c r="J101" s="27"/>
      <c r="K101" s="1"/>
      <c r="L101" s="1"/>
    </row>
    <row r="102" spans="5:12" x14ac:dyDescent="0.25">
      <c r="E102"/>
      <c r="J102" s="27"/>
      <c r="K102" s="1"/>
      <c r="L102" s="1"/>
    </row>
    <row r="103" spans="5:12" x14ac:dyDescent="0.25">
      <c r="E103"/>
      <c r="J103" s="27"/>
      <c r="K103" s="1"/>
      <c r="L103" s="1"/>
    </row>
    <row r="104" spans="5:12" x14ac:dyDescent="0.25">
      <c r="E104"/>
      <c r="J104" s="27"/>
      <c r="K104" s="1"/>
      <c r="L104" s="1"/>
    </row>
    <row r="105" spans="5:12" x14ac:dyDescent="0.25">
      <c r="E105"/>
      <c r="J105" s="27"/>
      <c r="K105" s="1"/>
      <c r="L105" s="1"/>
    </row>
    <row r="106" spans="5:12" x14ac:dyDescent="0.25">
      <c r="E106"/>
      <c r="J106" s="27"/>
      <c r="K106" s="1"/>
      <c r="L106" s="1"/>
    </row>
    <row r="107" spans="5:12" x14ac:dyDescent="0.25">
      <c r="E107"/>
      <c r="J107" s="27"/>
      <c r="K107" s="1"/>
      <c r="L107" s="1"/>
    </row>
    <row r="108" spans="5:12" x14ac:dyDescent="0.25">
      <c r="E108"/>
      <c r="J108" s="27"/>
      <c r="K108" s="1"/>
      <c r="L108" s="1"/>
    </row>
    <row r="109" spans="5:12" x14ac:dyDescent="0.25">
      <c r="E109"/>
      <c r="J109" s="27"/>
      <c r="K109" s="1"/>
      <c r="L109" s="1"/>
    </row>
    <row r="110" spans="5:12" x14ac:dyDescent="0.25">
      <c r="E110"/>
      <c r="J110" s="27"/>
      <c r="K110" s="1"/>
      <c r="L110" s="1"/>
    </row>
    <row r="111" spans="5:12" x14ac:dyDescent="0.25">
      <c r="E111"/>
      <c r="J111" s="27"/>
      <c r="K111" s="1"/>
      <c r="L111" s="1"/>
    </row>
    <row r="112" spans="5:12" x14ac:dyDescent="0.25">
      <c r="E112"/>
      <c r="J112" s="27"/>
      <c r="K112" s="1"/>
      <c r="L112" s="1"/>
    </row>
    <row r="113" spans="5:12" x14ac:dyDescent="0.25">
      <c r="E113"/>
      <c r="J113" s="27"/>
      <c r="K113" s="1"/>
      <c r="L113" s="1"/>
    </row>
    <row r="114" spans="5:12" x14ac:dyDescent="0.25">
      <c r="E114"/>
      <c r="J114" s="27"/>
      <c r="K114" s="1"/>
      <c r="L114" s="1"/>
    </row>
    <row r="115" spans="5:12" x14ac:dyDescent="0.25">
      <c r="E115"/>
      <c r="J115" s="27"/>
      <c r="K115" s="1"/>
      <c r="L115" s="1"/>
    </row>
    <row r="116" spans="5:12" x14ac:dyDescent="0.25">
      <c r="E116"/>
      <c r="J116" s="27"/>
      <c r="K116" s="1"/>
      <c r="L116" s="1"/>
    </row>
    <row r="117" spans="5:12" x14ac:dyDescent="0.25">
      <c r="E117"/>
      <c r="J117" s="27"/>
      <c r="K117" s="1"/>
      <c r="L117" s="1"/>
    </row>
    <row r="118" spans="5:12" x14ac:dyDescent="0.25">
      <c r="E118"/>
      <c r="J118" s="27"/>
      <c r="K118" s="1"/>
      <c r="L118" s="1"/>
    </row>
    <row r="119" spans="5:12" x14ac:dyDescent="0.25">
      <c r="E119"/>
      <c r="J119" s="27"/>
      <c r="K119" s="1"/>
      <c r="L119" s="1"/>
    </row>
    <row r="120" spans="5:12" x14ac:dyDescent="0.25">
      <c r="E120"/>
      <c r="J120" s="27"/>
      <c r="K120" s="1"/>
      <c r="L120" s="1"/>
    </row>
    <row r="121" spans="5:12" x14ac:dyDescent="0.25">
      <c r="E121"/>
      <c r="J121" s="27"/>
      <c r="K121" s="1"/>
      <c r="L121" s="1"/>
    </row>
    <row r="122" spans="5:12" x14ac:dyDescent="0.25">
      <c r="E122"/>
      <c r="J122" s="27"/>
      <c r="K122" s="1"/>
      <c r="L122" s="1"/>
    </row>
    <row r="123" spans="5:12" x14ac:dyDescent="0.25">
      <c r="E123"/>
      <c r="J123" s="27"/>
      <c r="K123" s="1"/>
      <c r="L123" s="1"/>
    </row>
    <row r="124" spans="5:12" x14ac:dyDescent="0.25">
      <c r="E124"/>
      <c r="J124" s="27"/>
      <c r="K124" s="1"/>
      <c r="L124" s="1"/>
    </row>
    <row r="125" spans="5:12" x14ac:dyDescent="0.25">
      <c r="E125"/>
      <c r="J125" s="27"/>
      <c r="K125" s="1"/>
      <c r="L125" s="1"/>
    </row>
    <row r="126" spans="5:12" x14ac:dyDescent="0.25">
      <c r="E126"/>
      <c r="J126" s="27"/>
      <c r="K126" s="1"/>
      <c r="L126" s="1"/>
    </row>
    <row r="127" spans="5:12" x14ac:dyDescent="0.25">
      <c r="E127"/>
      <c r="J127" s="27"/>
      <c r="K127" s="1"/>
      <c r="L127" s="1"/>
    </row>
    <row r="128" spans="5:12" x14ac:dyDescent="0.25">
      <c r="E128"/>
      <c r="J128" s="27"/>
      <c r="K128" s="1"/>
      <c r="L128" s="1"/>
    </row>
    <row r="129" spans="5:12" x14ac:dyDescent="0.25">
      <c r="E129"/>
      <c r="J129" s="27"/>
      <c r="K129" s="1"/>
      <c r="L129" s="1"/>
    </row>
    <row r="130" spans="5:12" x14ac:dyDescent="0.25">
      <c r="E130"/>
      <c r="J130" s="27"/>
      <c r="K130" s="1"/>
      <c r="L130" s="1"/>
    </row>
    <row r="131" spans="5:12" x14ac:dyDescent="0.25">
      <c r="E131"/>
      <c r="J131" s="27"/>
      <c r="K131" s="1"/>
      <c r="L131" s="1"/>
    </row>
    <row r="132" spans="5:12" x14ac:dyDescent="0.25">
      <c r="E132"/>
      <c r="J132" s="27"/>
      <c r="K132" s="1"/>
      <c r="L132" s="1"/>
    </row>
    <row r="133" spans="5:12" x14ac:dyDescent="0.25">
      <c r="E133"/>
      <c r="J133" s="27"/>
      <c r="K133" s="1"/>
      <c r="L133" s="1"/>
    </row>
    <row r="134" spans="5:12" x14ac:dyDescent="0.25">
      <c r="E134"/>
      <c r="J134" s="27"/>
      <c r="K134" s="1"/>
      <c r="L134" s="1"/>
    </row>
    <row r="135" spans="5:12" x14ac:dyDescent="0.25">
      <c r="E135"/>
      <c r="J135" s="27"/>
      <c r="K135" s="1"/>
      <c r="L135" s="1"/>
    </row>
    <row r="136" spans="5:12" x14ac:dyDescent="0.25">
      <c r="E136"/>
      <c r="J136" s="27"/>
      <c r="K136" s="1"/>
      <c r="L136" s="1"/>
    </row>
    <row r="137" spans="5:12" x14ac:dyDescent="0.25">
      <c r="E137"/>
      <c r="J137" s="27"/>
      <c r="K137" s="1"/>
      <c r="L137" s="1"/>
    </row>
    <row r="138" spans="5:12" x14ac:dyDescent="0.25">
      <c r="E138"/>
      <c r="J138" s="27"/>
      <c r="K138" s="1"/>
      <c r="L138" s="1"/>
    </row>
    <row r="139" spans="5:12" x14ac:dyDescent="0.25">
      <c r="E139"/>
      <c r="J139" s="27"/>
      <c r="K139" s="1"/>
      <c r="L139" s="1"/>
    </row>
    <row r="140" spans="5:12" x14ac:dyDescent="0.25">
      <c r="E140"/>
      <c r="J140" s="27"/>
      <c r="K140" s="1"/>
      <c r="L140" s="1"/>
    </row>
    <row r="141" spans="5:12" x14ac:dyDescent="0.25">
      <c r="E141"/>
      <c r="J141" s="27"/>
      <c r="K141" s="1"/>
      <c r="L141" s="1"/>
    </row>
    <row r="142" spans="5:12" x14ac:dyDescent="0.25">
      <c r="E142"/>
      <c r="J142" s="27"/>
      <c r="K142" s="1"/>
      <c r="L142" s="1"/>
    </row>
    <row r="143" spans="5:12" x14ac:dyDescent="0.25">
      <c r="E143"/>
      <c r="J143" s="27"/>
      <c r="K143" s="1"/>
      <c r="L143" s="1"/>
    </row>
    <row r="144" spans="5:12" x14ac:dyDescent="0.25">
      <c r="E144"/>
      <c r="J144" s="27"/>
      <c r="K144" s="1"/>
      <c r="L144" s="1"/>
    </row>
    <row r="145" spans="5:12" x14ac:dyDescent="0.25">
      <c r="E145"/>
      <c r="J145" s="27"/>
      <c r="K145" s="1"/>
      <c r="L145" s="1"/>
    </row>
    <row r="146" spans="5:12" x14ac:dyDescent="0.25">
      <c r="E146"/>
      <c r="J146" s="27"/>
      <c r="K146" s="1"/>
      <c r="L146" s="1"/>
    </row>
    <row r="147" spans="5:12" x14ac:dyDescent="0.25">
      <c r="E147"/>
      <c r="J147" s="27"/>
      <c r="K147" s="1"/>
      <c r="L147" s="1"/>
    </row>
    <row r="148" spans="5:12" x14ac:dyDescent="0.25">
      <c r="E148"/>
      <c r="J148" s="27"/>
      <c r="K148" s="1"/>
      <c r="L148" s="1"/>
    </row>
    <row r="149" spans="5:12" x14ac:dyDescent="0.25">
      <c r="E149"/>
      <c r="J149" s="27"/>
      <c r="K149" s="1"/>
      <c r="L149" s="1"/>
    </row>
    <row r="150" spans="5:12" x14ac:dyDescent="0.25">
      <c r="E150"/>
      <c r="J150" s="27"/>
      <c r="K150" s="1"/>
      <c r="L150" s="1"/>
    </row>
    <row r="151" spans="5:12" x14ac:dyDescent="0.25">
      <c r="E151"/>
      <c r="J151" s="27"/>
      <c r="K151" s="1"/>
      <c r="L151" s="1"/>
    </row>
    <row r="152" spans="5:12" x14ac:dyDescent="0.25">
      <c r="E152"/>
      <c r="J152" s="27"/>
      <c r="K152" s="1"/>
      <c r="L152" s="1"/>
    </row>
    <row r="153" spans="5:12" x14ac:dyDescent="0.25">
      <c r="E153"/>
      <c r="J153" s="27"/>
      <c r="K153" s="1"/>
      <c r="L153" s="1"/>
    </row>
    <row r="154" spans="5:12" x14ac:dyDescent="0.25">
      <c r="E154"/>
      <c r="J154" s="27"/>
      <c r="K154" s="1"/>
      <c r="L154" s="1"/>
    </row>
    <row r="155" spans="5:12" x14ac:dyDescent="0.25">
      <c r="E155"/>
      <c r="J155" s="27"/>
      <c r="K155" s="1"/>
      <c r="L155" s="1"/>
    </row>
    <row r="156" spans="5:12" x14ac:dyDescent="0.25">
      <c r="E156"/>
      <c r="J156" s="27"/>
      <c r="K156" s="1"/>
      <c r="L156" s="1"/>
    </row>
    <row r="157" spans="5:12" x14ac:dyDescent="0.25">
      <c r="E157"/>
      <c r="J157" s="27"/>
      <c r="K157" s="1"/>
      <c r="L157" s="1"/>
    </row>
    <row r="158" spans="5:12" x14ac:dyDescent="0.25">
      <c r="E158"/>
      <c r="J158" s="27"/>
      <c r="K158" s="1"/>
      <c r="L158" s="1"/>
    </row>
    <row r="159" spans="5:12" x14ac:dyDescent="0.25">
      <c r="E159"/>
      <c r="J159" s="27"/>
      <c r="K159" s="1"/>
      <c r="L159" s="1"/>
    </row>
    <row r="160" spans="5:12" x14ac:dyDescent="0.25">
      <c r="E160"/>
      <c r="J160" s="27"/>
      <c r="K160" s="1"/>
      <c r="L160" s="1"/>
    </row>
    <row r="161" spans="5:12" x14ac:dyDescent="0.25">
      <c r="E161"/>
      <c r="J161" s="27"/>
      <c r="K161" s="1"/>
      <c r="L161" s="1"/>
    </row>
    <row r="162" spans="5:12" x14ac:dyDescent="0.25">
      <c r="E162"/>
      <c r="J162" s="27"/>
      <c r="K162" s="1"/>
      <c r="L162" s="1"/>
    </row>
    <row r="163" spans="5:12" x14ac:dyDescent="0.25">
      <c r="E163"/>
      <c r="J163" s="27"/>
      <c r="K163" s="1"/>
      <c r="L163" s="1"/>
    </row>
    <row r="164" spans="5:12" x14ac:dyDescent="0.25">
      <c r="E164"/>
      <c r="J164" s="27"/>
      <c r="K164" s="1"/>
      <c r="L164" s="1"/>
    </row>
    <row r="165" spans="5:12" x14ac:dyDescent="0.25">
      <c r="E165"/>
      <c r="J165" s="27"/>
      <c r="K165" s="1"/>
      <c r="L165" s="1"/>
    </row>
    <row r="166" spans="5:12" x14ac:dyDescent="0.25">
      <c r="E166"/>
      <c r="J166" s="27"/>
      <c r="K166" s="1"/>
      <c r="L166" s="1"/>
    </row>
    <row r="167" spans="5:12" x14ac:dyDescent="0.25">
      <c r="E167"/>
      <c r="J167" s="27"/>
      <c r="K167" s="1"/>
      <c r="L167" s="1"/>
    </row>
    <row r="168" spans="5:12" x14ac:dyDescent="0.25">
      <c r="E168"/>
      <c r="J168" s="27"/>
      <c r="K168" s="1"/>
      <c r="L168" s="1"/>
    </row>
    <row r="169" spans="5:12" x14ac:dyDescent="0.25">
      <c r="E169"/>
      <c r="J169" s="27"/>
      <c r="K169" s="1"/>
      <c r="L169" s="1"/>
    </row>
    <row r="170" spans="5:12" x14ac:dyDescent="0.25">
      <c r="E170"/>
      <c r="J170" s="27"/>
      <c r="K170" s="1"/>
      <c r="L170" s="1"/>
    </row>
    <row r="171" spans="5:12" x14ac:dyDescent="0.25">
      <c r="E171"/>
      <c r="J171" s="27"/>
      <c r="K171" s="1"/>
      <c r="L171" s="1"/>
    </row>
    <row r="172" spans="5:12" x14ac:dyDescent="0.25">
      <c r="E172"/>
      <c r="J172" s="27"/>
      <c r="K172" s="1"/>
      <c r="L172" s="1"/>
    </row>
    <row r="173" spans="5:12" x14ac:dyDescent="0.25">
      <c r="E173"/>
      <c r="J173" s="27"/>
      <c r="K173" s="1"/>
      <c r="L173" s="1"/>
    </row>
    <row r="174" spans="5:12" x14ac:dyDescent="0.25">
      <c r="E174"/>
      <c r="J174" s="27"/>
      <c r="K174" s="1"/>
      <c r="L174" s="1"/>
    </row>
    <row r="175" spans="5:12" x14ac:dyDescent="0.25">
      <c r="E175"/>
      <c r="J175" s="27"/>
      <c r="K175" s="1"/>
      <c r="L175" s="1"/>
    </row>
    <row r="176" spans="5:12" x14ac:dyDescent="0.25">
      <c r="E176"/>
      <c r="J176" s="27"/>
      <c r="K176" s="1"/>
      <c r="L176" s="1"/>
    </row>
    <row r="177" spans="5:12" x14ac:dyDescent="0.25">
      <c r="E177"/>
      <c r="J177" s="27"/>
      <c r="K177" s="1"/>
      <c r="L177" s="1"/>
    </row>
    <row r="178" spans="5:12" x14ac:dyDescent="0.25">
      <c r="E178"/>
      <c r="J178" s="27"/>
      <c r="K178" s="1"/>
      <c r="L178" s="1"/>
    </row>
    <row r="179" spans="5:12" x14ac:dyDescent="0.25">
      <c r="E179"/>
      <c r="J179" s="27"/>
      <c r="K179" s="1"/>
      <c r="L179" s="1"/>
    </row>
    <row r="180" spans="5:12" x14ac:dyDescent="0.25">
      <c r="E180"/>
      <c r="J180" s="27"/>
      <c r="K180" s="1"/>
      <c r="L180" s="1"/>
    </row>
    <row r="181" spans="5:12" x14ac:dyDescent="0.25">
      <c r="E181"/>
      <c r="J181" s="27"/>
      <c r="K181" s="1"/>
      <c r="L181" s="1"/>
    </row>
    <row r="182" spans="5:12" x14ac:dyDescent="0.25">
      <c r="E182"/>
      <c r="J182" s="27"/>
      <c r="K182" s="1"/>
      <c r="L182" s="1"/>
    </row>
    <row r="183" spans="5:12" x14ac:dyDescent="0.25">
      <c r="E183"/>
      <c r="J183" s="27"/>
      <c r="K183" s="1"/>
      <c r="L183" s="1"/>
    </row>
    <row r="184" spans="5:12" x14ac:dyDescent="0.25">
      <c r="E184"/>
      <c r="J184" s="27"/>
      <c r="K184" s="1"/>
      <c r="L184" s="1"/>
    </row>
    <row r="185" spans="5:12" x14ac:dyDescent="0.25">
      <c r="E185"/>
      <c r="J185" s="27"/>
      <c r="K185" s="1"/>
      <c r="L185" s="1"/>
    </row>
    <row r="186" spans="5:12" x14ac:dyDescent="0.25">
      <c r="E186"/>
      <c r="J186" s="27"/>
      <c r="K186" s="1"/>
      <c r="L186" s="1"/>
    </row>
    <row r="187" spans="5:12" x14ac:dyDescent="0.25">
      <c r="E187"/>
      <c r="J187" s="27"/>
      <c r="K187" s="1"/>
      <c r="L187" s="1"/>
    </row>
    <row r="188" spans="5:12" x14ac:dyDescent="0.25">
      <c r="E188"/>
      <c r="J188" s="27"/>
      <c r="K188" s="1"/>
      <c r="L188" s="1"/>
    </row>
    <row r="189" spans="5:12" x14ac:dyDescent="0.25">
      <c r="E189"/>
      <c r="J189" s="27"/>
      <c r="K189" s="1"/>
      <c r="L189" s="1"/>
    </row>
    <row r="190" spans="5:12" x14ac:dyDescent="0.25">
      <c r="E190"/>
      <c r="J190" s="27"/>
      <c r="K190" s="1"/>
      <c r="L190" s="1"/>
    </row>
    <row r="191" spans="5:12" x14ac:dyDescent="0.25">
      <c r="E191"/>
      <c r="J191" s="27"/>
      <c r="K191" s="1"/>
      <c r="L191" s="1"/>
    </row>
    <row r="192" spans="5:12" x14ac:dyDescent="0.25">
      <c r="E192"/>
      <c r="J192" s="27"/>
      <c r="K192" s="1"/>
      <c r="L192" s="1"/>
    </row>
    <row r="193" spans="5:12" x14ac:dyDescent="0.25">
      <c r="E193"/>
      <c r="J193" s="27"/>
      <c r="K193" s="1"/>
      <c r="L193" s="1"/>
    </row>
    <row r="194" spans="5:12" x14ac:dyDescent="0.25">
      <c r="E194"/>
      <c r="J194" s="27"/>
      <c r="K194" s="1"/>
      <c r="L194" s="1"/>
    </row>
    <row r="195" spans="5:12" x14ac:dyDescent="0.25">
      <c r="E195"/>
      <c r="J195" s="27"/>
      <c r="K195" s="1"/>
      <c r="L195" s="1"/>
    </row>
    <row r="196" spans="5:12" x14ac:dyDescent="0.25">
      <c r="E196"/>
      <c r="J196" s="27"/>
      <c r="K196" s="1"/>
      <c r="L196" s="1"/>
    </row>
    <row r="197" spans="5:12" x14ac:dyDescent="0.25">
      <c r="E197"/>
      <c r="J197" s="27"/>
      <c r="K197" s="1"/>
      <c r="L197" s="1"/>
    </row>
    <row r="198" spans="5:12" x14ac:dyDescent="0.25">
      <c r="E198"/>
      <c r="J198" s="27"/>
      <c r="K198" s="1"/>
      <c r="L198" s="1"/>
    </row>
    <row r="199" spans="5:12" x14ac:dyDescent="0.25">
      <c r="E199"/>
      <c r="J199" s="27"/>
      <c r="K199" s="1"/>
      <c r="L199" s="1"/>
    </row>
    <row r="200" spans="5:12" x14ac:dyDescent="0.25">
      <c r="E200"/>
      <c r="J200" s="27"/>
      <c r="K200" s="1"/>
      <c r="L200" s="1"/>
    </row>
    <row r="201" spans="5:12" x14ac:dyDescent="0.25">
      <c r="E201"/>
      <c r="J201" s="27"/>
      <c r="K201" s="1"/>
      <c r="L201" s="1"/>
    </row>
    <row r="202" spans="5:12" x14ac:dyDescent="0.25">
      <c r="E202"/>
      <c r="J202" s="27"/>
      <c r="K202" s="1"/>
      <c r="L202" s="1"/>
    </row>
    <row r="203" spans="5:12" x14ac:dyDescent="0.25">
      <c r="E203"/>
      <c r="J203" s="27"/>
      <c r="K203" s="1"/>
      <c r="L203" s="1"/>
    </row>
    <row r="204" spans="5:12" x14ac:dyDescent="0.25">
      <c r="E204"/>
      <c r="J204" s="27"/>
      <c r="K204" s="1"/>
      <c r="L204" s="1"/>
    </row>
    <row r="205" spans="5:12" x14ac:dyDescent="0.25">
      <c r="E205"/>
      <c r="J205" s="27"/>
      <c r="K205" s="1"/>
      <c r="L205" s="1"/>
    </row>
    <row r="206" spans="5:12" x14ac:dyDescent="0.25">
      <c r="E206"/>
      <c r="J206" s="27"/>
      <c r="K206" s="1"/>
      <c r="L206" s="1"/>
    </row>
    <row r="207" spans="5:12" x14ac:dyDescent="0.25">
      <c r="E207"/>
      <c r="J207" s="27"/>
      <c r="K207" s="1"/>
      <c r="L207" s="1"/>
    </row>
    <row r="208" spans="5:12" x14ac:dyDescent="0.25">
      <c r="E208"/>
      <c r="J208" s="27"/>
      <c r="K208" s="1"/>
      <c r="L208" s="1"/>
    </row>
    <row r="209" spans="5:12" x14ac:dyDescent="0.25">
      <c r="E209"/>
      <c r="J209" s="27"/>
      <c r="K209" s="1"/>
      <c r="L209" s="1"/>
    </row>
    <row r="210" spans="5:12" x14ac:dyDescent="0.25">
      <c r="E210"/>
      <c r="J210" s="27"/>
      <c r="K210" s="1"/>
      <c r="L210" s="1"/>
    </row>
    <row r="211" spans="5:12" x14ac:dyDescent="0.25">
      <c r="E211"/>
      <c r="J211" s="27"/>
      <c r="K211" s="1"/>
      <c r="L211" s="1"/>
    </row>
    <row r="212" spans="5:12" x14ac:dyDescent="0.25">
      <c r="E212"/>
      <c r="J212" s="27"/>
      <c r="K212" s="1"/>
      <c r="L212" s="1"/>
    </row>
    <row r="213" spans="5:12" x14ac:dyDescent="0.25">
      <c r="E213"/>
      <c r="J213" s="27"/>
      <c r="K213" s="1"/>
      <c r="L213" s="1"/>
    </row>
    <row r="214" spans="5:12" x14ac:dyDescent="0.25">
      <c r="E214"/>
      <c r="J214" s="27"/>
      <c r="K214" s="1"/>
      <c r="L214" s="1"/>
    </row>
    <row r="215" spans="5:12" x14ac:dyDescent="0.25">
      <c r="E215"/>
      <c r="J215" s="27"/>
      <c r="K215" s="1"/>
      <c r="L215" s="1"/>
    </row>
    <row r="216" spans="5:12" x14ac:dyDescent="0.25">
      <c r="E216"/>
      <c r="J216" s="27"/>
      <c r="K216" s="1"/>
      <c r="L216" s="1"/>
    </row>
    <row r="217" spans="5:12" x14ac:dyDescent="0.25">
      <c r="E217"/>
      <c r="J217" s="27"/>
      <c r="K217" s="1"/>
      <c r="L217" s="1"/>
    </row>
    <row r="218" spans="5:12" x14ac:dyDescent="0.25">
      <c r="E218"/>
      <c r="J218" s="27"/>
      <c r="K218" s="1"/>
      <c r="L218" s="1"/>
    </row>
    <row r="219" spans="5:12" x14ac:dyDescent="0.25">
      <c r="E219"/>
      <c r="J219" s="27"/>
      <c r="K219" s="1"/>
      <c r="L219" s="1"/>
    </row>
    <row r="220" spans="5:12" x14ac:dyDescent="0.25">
      <c r="E220"/>
      <c r="J220" s="27"/>
      <c r="K220" s="1"/>
      <c r="L220" s="1"/>
    </row>
    <row r="221" spans="5:12" x14ac:dyDescent="0.25">
      <c r="E221"/>
      <c r="J221" s="27"/>
      <c r="K221" s="1"/>
      <c r="L221" s="1"/>
    </row>
    <row r="222" spans="5:12" x14ac:dyDescent="0.25">
      <c r="E222"/>
      <c r="J222" s="27"/>
      <c r="K222" s="1"/>
      <c r="L222" s="1"/>
    </row>
    <row r="223" spans="5:12" x14ac:dyDescent="0.25">
      <c r="E223"/>
      <c r="J223" s="27"/>
      <c r="K223" s="1"/>
      <c r="L223" s="1"/>
    </row>
    <row r="224" spans="5:12" x14ac:dyDescent="0.25">
      <c r="E224"/>
      <c r="J224" s="27"/>
      <c r="K224" s="1"/>
      <c r="L224" s="1"/>
    </row>
    <row r="225" spans="5:12" x14ac:dyDescent="0.25">
      <c r="E225"/>
      <c r="J225" s="27"/>
      <c r="K225" s="1"/>
      <c r="L225" s="1"/>
    </row>
    <row r="226" spans="5:12" x14ac:dyDescent="0.25">
      <c r="E226"/>
      <c r="J226" s="27"/>
      <c r="K226" s="1"/>
      <c r="L226" s="1"/>
    </row>
    <row r="227" spans="5:12" x14ac:dyDescent="0.25">
      <c r="E227"/>
      <c r="J227" s="27"/>
      <c r="K227" s="1"/>
      <c r="L227" s="1"/>
    </row>
    <row r="228" spans="5:12" x14ac:dyDescent="0.25">
      <c r="E228"/>
      <c r="J228" s="27"/>
      <c r="K228" s="1"/>
      <c r="L228" s="1"/>
    </row>
    <row r="229" spans="5:12" x14ac:dyDescent="0.25">
      <c r="E229"/>
      <c r="J229" s="27"/>
      <c r="K229" s="1"/>
      <c r="L229" s="1"/>
    </row>
    <row r="230" spans="5:12" x14ac:dyDescent="0.25">
      <c r="E230"/>
      <c r="J230" s="27"/>
      <c r="K230" s="1"/>
      <c r="L230" s="1"/>
    </row>
    <row r="231" spans="5:12" x14ac:dyDescent="0.25">
      <c r="E231"/>
      <c r="J231" s="27"/>
      <c r="K231" s="1"/>
      <c r="L231" s="1"/>
    </row>
    <row r="232" spans="5:12" x14ac:dyDescent="0.25">
      <c r="E232"/>
      <c r="J232" s="27"/>
      <c r="K232" s="1"/>
      <c r="L232" s="1"/>
    </row>
    <row r="233" spans="5:12" x14ac:dyDescent="0.25">
      <c r="E233"/>
      <c r="J233" s="27"/>
      <c r="K233" s="1"/>
      <c r="L233" s="1"/>
    </row>
    <row r="234" spans="5:12" x14ac:dyDescent="0.25">
      <c r="E234"/>
      <c r="J234" s="27"/>
      <c r="K234" s="1"/>
      <c r="L234" s="1"/>
    </row>
    <row r="235" spans="5:12" x14ac:dyDescent="0.25">
      <c r="E235"/>
      <c r="J235" s="27"/>
      <c r="K235" s="1"/>
      <c r="L235" s="1"/>
    </row>
    <row r="236" spans="5:12" x14ac:dyDescent="0.25">
      <c r="E236"/>
      <c r="J236" s="27"/>
      <c r="K236" s="1"/>
      <c r="L236" s="1"/>
    </row>
    <row r="237" spans="5:12" x14ac:dyDescent="0.25">
      <c r="E237"/>
      <c r="J237" s="27"/>
      <c r="K237" s="1"/>
      <c r="L237" s="1"/>
    </row>
    <row r="238" spans="5:12" x14ac:dyDescent="0.25">
      <c r="E238"/>
      <c r="J238" s="27"/>
      <c r="K238" s="1"/>
      <c r="L238" s="1"/>
    </row>
    <row r="239" spans="5:12" x14ac:dyDescent="0.25">
      <c r="E239"/>
      <c r="J239" s="27"/>
      <c r="K239" s="1"/>
      <c r="L239" s="1"/>
    </row>
    <row r="240" spans="5:12" x14ac:dyDescent="0.25">
      <c r="E240"/>
      <c r="J240" s="27"/>
      <c r="K240" s="1"/>
      <c r="L240" s="1"/>
    </row>
    <row r="241" spans="5:12" x14ac:dyDescent="0.25">
      <c r="E241"/>
      <c r="J241" s="27"/>
      <c r="K241" s="1"/>
      <c r="L241" s="1"/>
    </row>
    <row r="242" spans="5:12" x14ac:dyDescent="0.25">
      <c r="E242"/>
      <c r="J242" s="27"/>
      <c r="K242" s="1"/>
      <c r="L242" s="1"/>
    </row>
    <row r="243" spans="5:12" x14ac:dyDescent="0.25">
      <c r="E243"/>
      <c r="J243" s="27"/>
      <c r="K243" s="1"/>
      <c r="L243" s="1"/>
    </row>
    <row r="244" spans="5:12" x14ac:dyDescent="0.25">
      <c r="E244"/>
      <c r="J244" s="27"/>
      <c r="K244" s="1"/>
      <c r="L244" s="1"/>
    </row>
    <row r="245" spans="5:12" x14ac:dyDescent="0.25">
      <c r="E245"/>
      <c r="J245" s="27"/>
      <c r="K245" s="1"/>
      <c r="L245" s="1"/>
    </row>
    <row r="246" spans="5:12" x14ac:dyDescent="0.25">
      <c r="E246"/>
      <c r="J246" s="27"/>
      <c r="K246" s="1"/>
      <c r="L246" s="1"/>
    </row>
    <row r="247" spans="5:12" x14ac:dyDescent="0.25">
      <c r="E247"/>
      <c r="J247" s="27"/>
      <c r="K247" s="1"/>
      <c r="L247" s="1"/>
    </row>
    <row r="248" spans="5:12" x14ac:dyDescent="0.25">
      <c r="E248"/>
      <c r="J248" s="27"/>
      <c r="K248" s="1"/>
      <c r="L248" s="1"/>
    </row>
    <row r="249" spans="5:12" x14ac:dyDescent="0.25">
      <c r="E249"/>
      <c r="J249" s="27"/>
      <c r="K249" s="1"/>
      <c r="L249" s="1"/>
    </row>
    <row r="250" spans="5:12" x14ac:dyDescent="0.25">
      <c r="E250"/>
      <c r="J250" s="27"/>
      <c r="K250" s="1"/>
      <c r="L250" s="1"/>
    </row>
    <row r="251" spans="5:12" x14ac:dyDescent="0.25">
      <c r="E251"/>
      <c r="J251" s="27"/>
      <c r="K251" s="1"/>
      <c r="L251" s="1"/>
    </row>
    <row r="252" spans="5:12" x14ac:dyDescent="0.25">
      <c r="E252"/>
      <c r="J252" s="27"/>
      <c r="K252" s="1"/>
      <c r="L252" s="1"/>
    </row>
    <row r="253" spans="5:12" x14ac:dyDescent="0.25">
      <c r="E253"/>
      <c r="J253" s="27"/>
      <c r="K253" s="1"/>
      <c r="L253" s="1"/>
    </row>
    <row r="254" spans="5:12" x14ac:dyDescent="0.25">
      <c r="E254"/>
      <c r="J254" s="27"/>
      <c r="K254" s="1"/>
      <c r="L254" s="1"/>
    </row>
    <row r="255" spans="5:12" x14ac:dyDescent="0.25">
      <c r="E255"/>
      <c r="J255" s="27"/>
      <c r="K255" s="1"/>
      <c r="L255" s="1"/>
    </row>
    <row r="256" spans="5:12" x14ac:dyDescent="0.25">
      <c r="E256"/>
      <c r="J256" s="27"/>
      <c r="K256" s="1"/>
      <c r="L256" s="1"/>
    </row>
    <row r="257" spans="5:12" x14ac:dyDescent="0.25">
      <c r="E257"/>
      <c r="J257" s="27"/>
      <c r="K257" s="1"/>
      <c r="L257" s="1"/>
    </row>
    <row r="258" spans="5:12" x14ac:dyDescent="0.25">
      <c r="E258"/>
      <c r="J258" s="27"/>
      <c r="K258" s="1"/>
      <c r="L258" s="1"/>
    </row>
    <row r="259" spans="5:12" x14ac:dyDescent="0.25">
      <c r="E259"/>
      <c r="J259" s="27"/>
      <c r="K259" s="1"/>
      <c r="L259" s="1"/>
    </row>
    <row r="260" spans="5:12" x14ac:dyDescent="0.25">
      <c r="E260"/>
      <c r="J260" s="27"/>
      <c r="K260" s="1"/>
      <c r="L260" s="1"/>
    </row>
    <row r="261" spans="5:12" x14ac:dyDescent="0.25">
      <c r="E261"/>
      <c r="J261" s="27"/>
      <c r="K261" s="1"/>
      <c r="L261" s="1"/>
    </row>
    <row r="262" spans="5:12" x14ac:dyDescent="0.25">
      <c r="E262"/>
      <c r="J262" s="27"/>
      <c r="K262" s="1"/>
      <c r="L262" s="1"/>
    </row>
    <row r="263" spans="5:12" x14ac:dyDescent="0.25">
      <c r="E263"/>
      <c r="J263" s="27"/>
      <c r="K263" s="1"/>
      <c r="L263" s="1"/>
    </row>
    <row r="264" spans="5:12" x14ac:dyDescent="0.25">
      <c r="E264"/>
      <c r="J264" s="27"/>
      <c r="K264" s="1"/>
      <c r="L264" s="1"/>
    </row>
    <row r="265" spans="5:12" x14ac:dyDescent="0.25">
      <c r="E265"/>
      <c r="J265" s="27"/>
      <c r="K265" s="1"/>
      <c r="L265" s="1"/>
    </row>
    <row r="266" spans="5:12" x14ac:dyDescent="0.25">
      <c r="E266"/>
      <c r="J266" s="27"/>
      <c r="K266" s="1"/>
      <c r="L266" s="1"/>
    </row>
    <row r="267" spans="5:12" x14ac:dyDescent="0.25">
      <c r="E267"/>
      <c r="J267" s="27"/>
      <c r="K267" s="1"/>
      <c r="L267" s="1"/>
    </row>
    <row r="268" spans="5:12" x14ac:dyDescent="0.25">
      <c r="E268"/>
      <c r="J268" s="27"/>
      <c r="K268" s="1"/>
      <c r="L268" s="1"/>
    </row>
    <row r="269" spans="5:12" x14ac:dyDescent="0.25">
      <c r="E269"/>
      <c r="J269" s="27"/>
      <c r="K269" s="1"/>
      <c r="L269" s="1"/>
    </row>
    <row r="270" spans="5:12" x14ac:dyDescent="0.25">
      <c r="E270"/>
      <c r="J270" s="27"/>
      <c r="K270" s="1"/>
      <c r="L270" s="1"/>
    </row>
    <row r="271" spans="5:12" x14ac:dyDescent="0.25">
      <c r="E271"/>
      <c r="J271" s="27"/>
      <c r="K271" s="1"/>
      <c r="L271" s="1"/>
    </row>
    <row r="272" spans="5:12" x14ac:dyDescent="0.25">
      <c r="E272"/>
      <c r="J272" s="27"/>
      <c r="K272" s="1"/>
      <c r="L272" s="1"/>
    </row>
    <row r="273" spans="5:12" x14ac:dyDescent="0.25">
      <c r="E273"/>
      <c r="J273" s="27"/>
      <c r="K273" s="1"/>
      <c r="L273" s="1"/>
    </row>
    <row r="274" spans="5:12" x14ac:dyDescent="0.25">
      <c r="E274"/>
      <c r="J274" s="27"/>
      <c r="K274" s="1"/>
      <c r="L274" s="1"/>
    </row>
    <row r="275" spans="5:12" x14ac:dyDescent="0.25">
      <c r="E275"/>
      <c r="J275" s="27"/>
      <c r="K275" s="1"/>
      <c r="L275" s="1"/>
    </row>
    <row r="276" spans="5:12" x14ac:dyDescent="0.25">
      <c r="E276"/>
      <c r="J276" s="27"/>
      <c r="K276" s="1"/>
      <c r="L276" s="1"/>
    </row>
    <row r="277" spans="5:12" x14ac:dyDescent="0.25">
      <c r="E277"/>
      <c r="J277" s="27"/>
      <c r="K277" s="1"/>
      <c r="L277" s="1"/>
    </row>
    <row r="278" spans="5:12" x14ac:dyDescent="0.25">
      <c r="E278"/>
      <c r="J278" s="27"/>
      <c r="K278" s="1"/>
      <c r="L278" s="1"/>
    </row>
    <row r="279" spans="5:12" x14ac:dyDescent="0.25">
      <c r="E279"/>
      <c r="J279" s="27"/>
      <c r="K279" s="1"/>
      <c r="L279" s="1"/>
    </row>
    <row r="280" spans="5:12" x14ac:dyDescent="0.25">
      <c r="E280"/>
      <c r="J280" s="27"/>
      <c r="K280" s="1"/>
      <c r="L280" s="1"/>
    </row>
    <row r="281" spans="5:12" x14ac:dyDescent="0.25">
      <c r="E281"/>
      <c r="J281" s="27"/>
      <c r="K281" s="1"/>
      <c r="L281" s="1"/>
    </row>
    <row r="282" spans="5:12" x14ac:dyDescent="0.25">
      <c r="E282"/>
      <c r="J282" s="27"/>
      <c r="K282" s="1"/>
      <c r="L282" s="1"/>
    </row>
    <row r="283" spans="5:12" x14ac:dyDescent="0.25">
      <c r="E283"/>
      <c r="J283" s="27"/>
      <c r="K283" s="1"/>
      <c r="L283" s="1"/>
    </row>
    <row r="284" spans="5:12" x14ac:dyDescent="0.25">
      <c r="E284"/>
      <c r="J284" s="27"/>
      <c r="K284" s="1"/>
      <c r="L284" s="1"/>
    </row>
    <row r="285" spans="5:12" x14ac:dyDescent="0.25">
      <c r="E285"/>
      <c r="J285" s="27"/>
      <c r="K285" s="1"/>
      <c r="L285" s="1"/>
    </row>
    <row r="286" spans="5:12" x14ac:dyDescent="0.25">
      <c r="E286"/>
      <c r="J286" s="27"/>
      <c r="K286" s="1"/>
      <c r="L286" s="1"/>
    </row>
    <row r="287" spans="5:12" x14ac:dyDescent="0.25">
      <c r="E287"/>
      <c r="J287" s="27"/>
      <c r="K287" s="1"/>
      <c r="L287" s="1"/>
    </row>
    <row r="288" spans="5:12" x14ac:dyDescent="0.25">
      <c r="E288"/>
      <c r="J288" s="27"/>
      <c r="K288" s="1"/>
      <c r="L288" s="1"/>
    </row>
    <row r="289" spans="5:12" x14ac:dyDescent="0.25">
      <c r="E289"/>
      <c r="J289" s="27"/>
      <c r="K289" s="1"/>
      <c r="L289" s="1"/>
    </row>
    <row r="290" spans="5:12" x14ac:dyDescent="0.25">
      <c r="E290"/>
      <c r="J290" s="27"/>
      <c r="K290" s="1"/>
      <c r="L290" s="1"/>
    </row>
    <row r="291" spans="5:12" x14ac:dyDescent="0.25">
      <c r="E291"/>
      <c r="J291" s="27"/>
      <c r="K291" s="1"/>
      <c r="L291" s="1"/>
    </row>
    <row r="292" spans="5:12" x14ac:dyDescent="0.25">
      <c r="E292"/>
      <c r="J292" s="27"/>
      <c r="K292" s="1"/>
      <c r="L292" s="1"/>
    </row>
    <row r="293" spans="5:12" x14ac:dyDescent="0.25">
      <c r="E293"/>
      <c r="J293" s="27"/>
      <c r="K293" s="1"/>
      <c r="L293" s="1"/>
    </row>
    <row r="294" spans="5:12" x14ac:dyDescent="0.25">
      <c r="E294"/>
      <c r="J294" s="27"/>
      <c r="K294" s="1"/>
      <c r="L294" s="1"/>
    </row>
    <row r="295" spans="5:12" x14ac:dyDescent="0.25">
      <c r="E295"/>
      <c r="J295" s="27"/>
      <c r="K295" s="1"/>
      <c r="L295" s="1"/>
    </row>
    <row r="296" spans="5:12" x14ac:dyDescent="0.25">
      <c r="E296"/>
      <c r="J296" s="27"/>
      <c r="K296" s="1"/>
      <c r="L296" s="1"/>
    </row>
    <row r="297" spans="5:12" x14ac:dyDescent="0.25">
      <c r="E297"/>
      <c r="J297" s="27"/>
      <c r="K297" s="1"/>
      <c r="L297" s="1"/>
    </row>
    <row r="298" spans="5:12" x14ac:dyDescent="0.25">
      <c r="E298"/>
      <c r="J298" s="27"/>
      <c r="K298" s="1"/>
      <c r="L298" s="1"/>
    </row>
    <row r="299" spans="5:12" x14ac:dyDescent="0.25">
      <c r="E299"/>
      <c r="J299" s="27"/>
      <c r="K299" s="1"/>
      <c r="L299" s="1"/>
    </row>
    <row r="300" spans="5:12" x14ac:dyDescent="0.25">
      <c r="E300"/>
      <c r="J300" s="27"/>
      <c r="K300" s="1"/>
      <c r="L300" s="1"/>
    </row>
    <row r="325" spans="2:2" x14ac:dyDescent="0.25">
      <c r="B325" s="19"/>
    </row>
    <row r="457" spans="2:2" x14ac:dyDescent="0.25">
      <c r="B457" s="19"/>
    </row>
    <row r="501" spans="2:2" x14ac:dyDescent="0.25">
      <c r="B501" s="19"/>
    </row>
    <row r="545" spans="2:2" x14ac:dyDescent="0.25">
      <c r="B545" s="19"/>
    </row>
    <row r="678" spans="2:2" x14ac:dyDescent="0.25">
      <c r="B678" s="19"/>
    </row>
    <row r="766" spans="4:4" x14ac:dyDescent="0.25">
      <c r="D766" s="19"/>
    </row>
    <row r="810" spans="2:2" x14ac:dyDescent="0.25">
      <c r="B810" s="19"/>
    </row>
    <row r="854" spans="2:2" x14ac:dyDescent="0.25">
      <c r="B854" s="19"/>
    </row>
    <row r="898" spans="2:2" x14ac:dyDescent="0.25">
      <c r="B898" s="19"/>
    </row>
    <row r="986" spans="4:4" x14ac:dyDescent="0.25">
      <c r="D986" s="19"/>
    </row>
    <row r="1030" spans="2:2" x14ac:dyDescent="0.25">
      <c r="B1030" s="19"/>
    </row>
    <row r="1074" spans="2:2" x14ac:dyDescent="0.25">
      <c r="B1074" s="19"/>
    </row>
    <row r="1118" spans="2:2" x14ac:dyDescent="0.25">
      <c r="B1118" s="19"/>
    </row>
    <row r="1162" spans="2:2" x14ac:dyDescent="0.25">
      <c r="B1162" s="19"/>
    </row>
    <row r="1206" spans="2:2" x14ac:dyDescent="0.25">
      <c r="B1206" s="19"/>
    </row>
    <row r="1250" spans="2:2" x14ac:dyDescent="0.25">
      <c r="B1250" s="19"/>
    </row>
    <row r="1294" spans="2:2" x14ac:dyDescent="0.25">
      <c r="B1294" s="19"/>
    </row>
    <row r="1338" spans="2:2" x14ac:dyDescent="0.25">
      <c r="B1338" s="19"/>
    </row>
    <row r="1382" spans="2:2" x14ac:dyDescent="0.25">
      <c r="B1382" s="19"/>
    </row>
    <row r="1598" spans="2:2" x14ac:dyDescent="0.25">
      <c r="B1598" s="19"/>
    </row>
    <row r="1642" spans="2:2" x14ac:dyDescent="0.25">
      <c r="B1642" s="19"/>
    </row>
    <row r="1686" spans="2:2" x14ac:dyDescent="0.25">
      <c r="B1686" s="19"/>
    </row>
    <row r="1819" spans="2:2" x14ac:dyDescent="0.25">
      <c r="B1819" s="19"/>
    </row>
    <row r="1863" spans="2:2" x14ac:dyDescent="0.25">
      <c r="B1863" s="19"/>
    </row>
    <row r="1907" spans="2:2" x14ac:dyDescent="0.25">
      <c r="B1907" s="19"/>
    </row>
    <row r="1951" spans="2:2" x14ac:dyDescent="0.25">
      <c r="B1951" s="19"/>
    </row>
    <row r="1995" spans="2:2" x14ac:dyDescent="0.25">
      <c r="B1995" s="19"/>
    </row>
    <row r="2039" spans="2:2" x14ac:dyDescent="0.25">
      <c r="B2039" s="19"/>
    </row>
    <row r="2083" spans="2:2" x14ac:dyDescent="0.25">
      <c r="B2083" s="19"/>
    </row>
    <row r="2127" spans="2:2" x14ac:dyDescent="0.25">
      <c r="B2127" s="19"/>
    </row>
    <row r="2171" spans="2:2" x14ac:dyDescent="0.25">
      <c r="B2171" s="19"/>
    </row>
    <row r="2215" spans="2:2" x14ac:dyDescent="0.25">
      <c r="B2215" s="19"/>
    </row>
    <row r="2259" spans="2:2" x14ac:dyDescent="0.25">
      <c r="B2259" s="19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52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9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0" t="s">
        <v>1</v>
      </c>
      <c r="B1" s="8" t="s">
        <v>2</v>
      </c>
      <c r="C1" s="2" t="s">
        <v>3</v>
      </c>
      <c r="D1" s="2" t="s">
        <v>4</v>
      </c>
      <c r="E1" s="2"/>
      <c r="F1" s="2"/>
      <c r="G1" s="2"/>
      <c r="H1" s="2"/>
      <c r="I1" s="2"/>
      <c r="J1" s="2"/>
      <c r="K1" s="4" t="s">
        <v>0</v>
      </c>
    </row>
    <row r="6" spans="1:11" x14ac:dyDescent="0.25">
      <c r="E6" s="1">
        <v>27.64</v>
      </c>
    </row>
    <row r="41" spans="5:5" x14ac:dyDescent="0.25">
      <c r="E41" s="1">
        <v>37.65</v>
      </c>
    </row>
    <row r="112" spans="5:5" x14ac:dyDescent="0.25">
      <c r="E112" s="1">
        <v>57.78</v>
      </c>
    </row>
    <row r="182" spans="5:7" x14ac:dyDescent="0.25">
      <c r="E182" s="1">
        <v>75994.97</v>
      </c>
      <c r="F182" s="1">
        <v>40.229999999999997</v>
      </c>
      <c r="G182" s="1">
        <v>73.66</v>
      </c>
    </row>
    <row r="252" spans="5:5" x14ac:dyDescent="0.25">
      <c r="E252" s="1">
        <v>86.94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67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0" t="s">
        <v>1</v>
      </c>
      <c r="B1" t="s">
        <v>2</v>
      </c>
      <c r="C1" t="s">
        <v>3</v>
      </c>
      <c r="D1" t="s">
        <v>4</v>
      </c>
      <c r="E1" s="4" t="s">
        <v>0</v>
      </c>
    </row>
    <row r="2" spans="1:5" x14ac:dyDescent="0.25">
      <c r="A2" s="20"/>
    </row>
    <row r="3" spans="1:5" ht="13.8" thickBot="1" x14ac:dyDescent="0.3">
      <c r="A3" s="20"/>
    </row>
    <row r="4" spans="1:5" ht="13.8" thickBot="1" x14ac:dyDescent="0.3">
      <c r="A4" s="21"/>
      <c r="B4" s="7"/>
      <c r="C4" s="15"/>
      <c r="E4" s="18"/>
    </row>
    <row r="5" spans="1:5" ht="13.8" thickBot="1" x14ac:dyDescent="0.3">
      <c r="A5" s="22"/>
      <c r="B5" s="6"/>
    </row>
    <row r="6" spans="1:5" x14ac:dyDescent="0.25">
      <c r="A6" s="23"/>
      <c r="B6" s="16"/>
    </row>
    <row r="7" spans="1:5" ht="13.8" thickBot="1" x14ac:dyDescent="0.3">
      <c r="A7" s="24"/>
      <c r="B7" s="17"/>
    </row>
    <row r="8" spans="1:5" x14ac:dyDescent="0.25">
      <c r="A8" s="25"/>
    </row>
    <row r="9" spans="1:5" x14ac:dyDescent="0.25">
      <c r="A9" s="20"/>
    </row>
    <row r="10" spans="1:5" x14ac:dyDescent="0.25">
      <c r="A10" s="20"/>
    </row>
    <row r="11" spans="1:5" x14ac:dyDescent="0.25">
      <c r="A11" s="20"/>
    </row>
    <row r="12" spans="1:5" x14ac:dyDescent="0.25">
      <c r="A12" s="20"/>
    </row>
    <row r="13" spans="1:5" x14ac:dyDescent="0.25">
      <c r="A13" s="20"/>
    </row>
    <row r="14" spans="1:5" x14ac:dyDescent="0.25">
      <c r="A14" s="20"/>
    </row>
    <row r="15" spans="1:5" x14ac:dyDescent="0.25">
      <c r="A15" s="20"/>
    </row>
    <row r="16" spans="1:5" x14ac:dyDescent="0.25">
      <c r="A16" s="20"/>
    </row>
    <row r="17" spans="1:1" x14ac:dyDescent="0.25">
      <c r="A17" s="20"/>
    </row>
    <row r="18" spans="1:1" x14ac:dyDescent="0.25">
      <c r="A18" s="20"/>
    </row>
    <row r="19" spans="1:1" x14ac:dyDescent="0.25">
      <c r="A19" s="20"/>
    </row>
    <row r="20" spans="1:1" x14ac:dyDescent="0.25">
      <c r="A20" s="20"/>
    </row>
    <row r="21" spans="1:1" x14ac:dyDescent="0.25">
      <c r="A21" s="20"/>
    </row>
    <row r="22" spans="1:1" x14ac:dyDescent="0.25">
      <c r="A22" s="20"/>
    </row>
    <row r="23" spans="1:1" x14ac:dyDescent="0.25">
      <c r="A23" s="20"/>
    </row>
    <row r="24" spans="1:1" x14ac:dyDescent="0.25">
      <c r="A24" s="20"/>
    </row>
    <row r="25" spans="1:1" x14ac:dyDescent="0.25">
      <c r="A25" s="20"/>
    </row>
    <row r="26" spans="1:1" x14ac:dyDescent="0.25">
      <c r="A26" s="20"/>
    </row>
    <row r="27" spans="1:1" x14ac:dyDescent="0.25">
      <c r="A27" s="20"/>
    </row>
    <row r="28" spans="1:1" x14ac:dyDescent="0.25">
      <c r="A28" s="20"/>
    </row>
    <row r="29" spans="1:1" x14ac:dyDescent="0.25">
      <c r="A29" s="20"/>
    </row>
    <row r="30" spans="1:1" x14ac:dyDescent="0.25">
      <c r="A30" s="20"/>
    </row>
    <row r="31" spans="1:1" x14ac:dyDescent="0.25">
      <c r="A31" s="20"/>
    </row>
    <row r="32" spans="1:1" x14ac:dyDescent="0.25">
      <c r="A32" s="20"/>
    </row>
    <row r="33" spans="1:1" x14ac:dyDescent="0.25">
      <c r="A33" s="20"/>
    </row>
    <row r="34" spans="1:1" x14ac:dyDescent="0.25">
      <c r="A34" s="20"/>
    </row>
    <row r="35" spans="1:1" x14ac:dyDescent="0.25">
      <c r="A35" s="20"/>
    </row>
    <row r="36" spans="1:1" x14ac:dyDescent="0.25">
      <c r="A36" s="20"/>
    </row>
    <row r="37" spans="1:1" x14ac:dyDescent="0.25">
      <c r="A37" s="20"/>
    </row>
    <row r="38" spans="1:1" x14ac:dyDescent="0.25">
      <c r="A38" s="20"/>
    </row>
    <row r="39" spans="1:1" x14ac:dyDescent="0.25">
      <c r="A39" s="20"/>
    </row>
    <row r="40" spans="1:1" x14ac:dyDescent="0.25">
      <c r="A40" s="20"/>
    </row>
    <row r="41" spans="1:1" x14ac:dyDescent="0.25">
      <c r="A41" s="20"/>
    </row>
    <row r="42" spans="1:1" x14ac:dyDescent="0.25">
      <c r="A42" s="20"/>
    </row>
    <row r="43" spans="1:1" x14ac:dyDescent="0.25">
      <c r="A43" s="20"/>
    </row>
    <row r="44" spans="1:1" x14ac:dyDescent="0.25">
      <c r="A44" s="20"/>
    </row>
    <row r="45" spans="1:1" x14ac:dyDescent="0.25">
      <c r="A45" s="20"/>
    </row>
    <row r="46" spans="1:1" x14ac:dyDescent="0.25">
      <c r="A46" s="20"/>
    </row>
    <row r="47" spans="1:1" x14ac:dyDescent="0.25">
      <c r="A47" s="20"/>
    </row>
    <row r="48" spans="1:1" x14ac:dyDescent="0.25">
      <c r="A48" s="20"/>
    </row>
    <row r="49" spans="1:1" x14ac:dyDescent="0.25">
      <c r="A49" s="20"/>
    </row>
    <row r="50" spans="1:1" x14ac:dyDescent="0.25">
      <c r="A50" s="20"/>
    </row>
    <row r="51" spans="1:1" x14ac:dyDescent="0.25">
      <c r="A51" s="20"/>
    </row>
    <row r="52" spans="1:1" x14ac:dyDescent="0.25">
      <c r="A52" s="20"/>
    </row>
    <row r="53" spans="1:1" x14ac:dyDescent="0.25">
      <c r="A53" s="20"/>
    </row>
    <row r="54" spans="1:1" x14ac:dyDescent="0.25">
      <c r="A54" s="20"/>
    </row>
    <row r="55" spans="1:1" x14ac:dyDescent="0.25">
      <c r="A55" s="20"/>
    </row>
    <row r="56" spans="1:1" x14ac:dyDescent="0.25">
      <c r="A56" s="20"/>
    </row>
    <row r="57" spans="1:1" x14ac:dyDescent="0.25">
      <c r="A57" s="20"/>
    </row>
    <row r="58" spans="1:1" x14ac:dyDescent="0.25">
      <c r="A58" s="20"/>
    </row>
    <row r="59" spans="1:1" x14ac:dyDescent="0.25">
      <c r="A59" s="20"/>
    </row>
    <row r="60" spans="1:1" x14ac:dyDescent="0.25">
      <c r="A60" s="20"/>
    </row>
    <row r="61" spans="1:1" x14ac:dyDescent="0.25">
      <c r="A61" s="20"/>
    </row>
    <row r="62" spans="1:1" x14ac:dyDescent="0.25">
      <c r="A62" s="20"/>
    </row>
    <row r="63" spans="1:1" x14ac:dyDescent="0.25">
      <c r="A63" s="20"/>
    </row>
    <row r="64" spans="1:1" x14ac:dyDescent="0.25">
      <c r="A64" s="20"/>
    </row>
    <row r="65" spans="1:1" x14ac:dyDescent="0.25">
      <c r="A65" s="20"/>
    </row>
    <row r="66" spans="1:1" x14ac:dyDescent="0.25">
      <c r="A66" s="20"/>
    </row>
    <row r="67" spans="1:1" x14ac:dyDescent="0.25">
      <c r="A67" s="20"/>
    </row>
    <row r="68" spans="1:1" x14ac:dyDescent="0.25">
      <c r="A68" s="20"/>
    </row>
    <row r="69" spans="1:1" x14ac:dyDescent="0.25">
      <c r="A69" s="20"/>
    </row>
    <row r="70" spans="1:1" x14ac:dyDescent="0.25">
      <c r="A70" s="20"/>
    </row>
    <row r="71" spans="1:1" x14ac:dyDescent="0.25">
      <c r="A71" s="20"/>
    </row>
    <row r="72" spans="1:1" x14ac:dyDescent="0.25">
      <c r="A72" s="20"/>
    </row>
    <row r="73" spans="1:1" x14ac:dyDescent="0.25">
      <c r="A73" s="20"/>
    </row>
    <row r="74" spans="1:1" x14ac:dyDescent="0.25">
      <c r="A74" s="20"/>
    </row>
    <row r="75" spans="1:1" x14ac:dyDescent="0.25">
      <c r="A75" s="20"/>
    </row>
    <row r="76" spans="1:1" x14ac:dyDescent="0.25">
      <c r="A76" s="20"/>
    </row>
    <row r="77" spans="1:1" x14ac:dyDescent="0.25">
      <c r="A77" s="20"/>
    </row>
    <row r="78" spans="1:1" x14ac:dyDescent="0.25">
      <c r="A78" s="20"/>
    </row>
    <row r="79" spans="1:1" x14ac:dyDescent="0.25">
      <c r="A79" s="20"/>
    </row>
    <row r="80" spans="1:1" x14ac:dyDescent="0.25">
      <c r="A80" s="20"/>
    </row>
    <row r="81" spans="1:1" x14ac:dyDescent="0.25">
      <c r="A81" s="20"/>
    </row>
    <row r="82" spans="1:1" x14ac:dyDescent="0.25">
      <c r="A82" s="20"/>
    </row>
    <row r="83" spans="1:1" x14ac:dyDescent="0.25">
      <c r="A83" s="20"/>
    </row>
    <row r="84" spans="1:1" x14ac:dyDescent="0.25">
      <c r="A84" s="20"/>
    </row>
    <row r="85" spans="1:1" x14ac:dyDescent="0.25">
      <c r="A85" s="20"/>
    </row>
    <row r="86" spans="1:1" x14ac:dyDescent="0.25">
      <c r="A86" s="20"/>
    </row>
    <row r="87" spans="1:1" x14ac:dyDescent="0.25">
      <c r="A87" s="20"/>
    </row>
    <row r="88" spans="1:1" x14ac:dyDescent="0.25">
      <c r="A88" s="20"/>
    </row>
    <row r="89" spans="1:1" x14ac:dyDescent="0.25">
      <c r="A89" s="20"/>
    </row>
    <row r="90" spans="1:1" x14ac:dyDescent="0.25">
      <c r="A90" s="20"/>
    </row>
    <row r="91" spans="1:1" x14ac:dyDescent="0.25">
      <c r="A91" s="20"/>
    </row>
    <row r="92" spans="1:1" x14ac:dyDescent="0.25">
      <c r="A92" s="20"/>
    </row>
    <row r="93" spans="1:1" x14ac:dyDescent="0.25">
      <c r="A93" s="20"/>
    </row>
    <row r="94" spans="1:1" x14ac:dyDescent="0.25">
      <c r="A94" s="20"/>
    </row>
    <row r="95" spans="1:1" x14ac:dyDescent="0.25">
      <c r="A95" s="20"/>
    </row>
    <row r="96" spans="1:1" x14ac:dyDescent="0.25">
      <c r="A96" s="20"/>
    </row>
    <row r="97" spans="1:1" x14ac:dyDescent="0.25">
      <c r="A97" s="20"/>
    </row>
    <row r="98" spans="1:1" x14ac:dyDescent="0.25">
      <c r="A98" s="20"/>
    </row>
    <row r="99" spans="1:1" x14ac:dyDescent="0.25">
      <c r="A99" s="20"/>
    </row>
    <row r="100" spans="1:1" x14ac:dyDescent="0.25">
      <c r="A100" s="20"/>
    </row>
    <row r="101" spans="1:1" x14ac:dyDescent="0.25">
      <c r="A101" s="20"/>
    </row>
    <row r="102" spans="1:1" x14ac:dyDescent="0.25">
      <c r="A102" s="20"/>
    </row>
    <row r="103" spans="1:1" x14ac:dyDescent="0.25">
      <c r="A103" s="20"/>
    </row>
    <row r="104" spans="1:1" x14ac:dyDescent="0.25">
      <c r="A104" s="20"/>
    </row>
    <row r="105" spans="1:1" x14ac:dyDescent="0.25">
      <c r="A105" s="20"/>
    </row>
    <row r="106" spans="1:1" x14ac:dyDescent="0.25">
      <c r="A106" s="20"/>
    </row>
    <row r="107" spans="1:1" x14ac:dyDescent="0.25">
      <c r="A107" s="20"/>
    </row>
    <row r="108" spans="1:1" x14ac:dyDescent="0.25">
      <c r="A108" s="20"/>
    </row>
    <row r="109" spans="1:1" x14ac:dyDescent="0.25">
      <c r="A109" s="20"/>
    </row>
    <row r="110" spans="1:1" x14ac:dyDescent="0.25">
      <c r="A110" s="20"/>
    </row>
    <row r="111" spans="1:1" x14ac:dyDescent="0.25">
      <c r="A111" s="20"/>
    </row>
    <row r="112" spans="1:1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  <row r="256" spans="1:1" x14ac:dyDescent="0.25">
      <c r="A256" s="20"/>
    </row>
    <row r="257" spans="1:1" x14ac:dyDescent="0.25">
      <c r="A257" s="20"/>
    </row>
    <row r="258" spans="1:1" x14ac:dyDescent="0.25">
      <c r="A258" s="20"/>
    </row>
    <row r="259" spans="1:1" x14ac:dyDescent="0.25">
      <c r="A259" s="20"/>
    </row>
    <row r="260" spans="1:1" x14ac:dyDescent="0.25">
      <c r="A260" s="20"/>
    </row>
    <row r="261" spans="1:1" x14ac:dyDescent="0.25">
      <c r="A261" s="20"/>
    </row>
    <row r="262" spans="1:1" x14ac:dyDescent="0.25">
      <c r="A262" s="20"/>
    </row>
    <row r="263" spans="1:1" x14ac:dyDescent="0.25">
      <c r="A263" s="20"/>
    </row>
    <row r="264" spans="1:1" x14ac:dyDescent="0.25">
      <c r="A264" s="20"/>
    </row>
    <row r="265" spans="1:1" x14ac:dyDescent="0.25">
      <c r="A265" s="20"/>
    </row>
    <row r="266" spans="1:1" x14ac:dyDescent="0.25">
      <c r="A266" s="20"/>
    </row>
    <row r="267" spans="1:1" x14ac:dyDescent="0.25">
      <c r="A267" s="20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ismet akalın</cp:lastModifiedBy>
  <cp:lastPrinted>2025-12-15T21:47:26Z</cp:lastPrinted>
  <dcterms:created xsi:type="dcterms:W3CDTF">2002-07-12T16:49:39Z</dcterms:created>
  <dcterms:modified xsi:type="dcterms:W3CDTF">2025-12-15T22:23:12Z</dcterms:modified>
</cp:coreProperties>
</file>